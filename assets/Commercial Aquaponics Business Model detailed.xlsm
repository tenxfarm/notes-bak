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226" codeName="{B7FE6334-C1A2-E50D-BD3D-5F4D41BBC2E3}"/>
  <workbookPr codeName="ThisWorkbook" autoCompressPictures="0"/>
  <bookViews>
    <workbookView xWindow="0" yWindow="0" windowWidth="25600" windowHeight="16060" tabRatio="895"/>
  </bookViews>
  <sheets>
    <sheet name="PROJ SPECS" sheetId="40" r:id="rId1"/>
    <sheet name="EXEC SUMMARY" sheetId="17" r:id="rId2"/>
    <sheet name="REVENUE" sheetId="13" r:id="rId3"/>
    <sheet name="COST OF REV" sheetId="43" r:id="rId4"/>
    <sheet name="OPER EXP" sheetId="10" r:id="rId5"/>
    <sheet name="NET PROFIT" sheetId="3" r:id="rId6"/>
    <sheet name="BALANCE SHEET" sheetId="4" r:id="rId7"/>
    <sheet name="BREAKEVEN" sheetId="22" r:id="rId8"/>
    <sheet name="PERSONNEL" sheetId="14" r:id="rId9"/>
    <sheet name="PROP &amp; EQUIP" sheetId="12" r:id="rId10"/>
    <sheet name="WORKCAP" sheetId="16" r:id="rId11"/>
    <sheet name="FUNDING" sheetId="9" r:id="rId12"/>
    <sheet name="EXTRA" sheetId="8" r:id="rId13"/>
    <sheet name="CASHFLOW" sheetId="5" r:id="rId14"/>
    <sheet name="INCOME-MOS" sheetId="27" r:id="rId15"/>
    <sheet name="CASHFLOW-MOS" sheetId="28" r:id="rId16"/>
    <sheet name="VAL-1" sheetId="34" r:id="rId17"/>
    <sheet name="VAL-2" sheetId="37" r:id="rId18"/>
  </sheets>
  <definedNames>
    <definedName name="_1995" localSheetId="14">'INCOME-MOS'!#REF!</definedName>
    <definedName name="_1996" localSheetId="14">'INCOME-MOS'!#REF!</definedName>
    <definedName name="_1997" localSheetId="14">'INCOME-MOS'!#REF!</definedName>
    <definedName name="_1998" localSheetId="14">'INCOME-MOS'!#REF!</definedName>
    <definedName name="_1999" localSheetId="14">'INCOME-MOS'!#REF!</definedName>
    <definedName name="ACQUISITION_COST" localSheetId="15">'CASHFLOW-MOS'!#REF!</definedName>
    <definedName name="AMORTIZATION" localSheetId="15">'CASHFLOW-MOS'!#REF!</definedName>
    <definedName name="AMORTIZATION" localSheetId="14">'INCOME-MOS'!#REF!</definedName>
    <definedName name="AP" localSheetId="10">WORKCAP!$C$25:$G$25</definedName>
    <definedName name="AP_CHANGE" localSheetId="15">'CASHFLOW-MOS'!#REF!</definedName>
    <definedName name="AP_CHANGE" localSheetId="10">WORKCAP!$C$26:$G$26</definedName>
    <definedName name="AR" localSheetId="10">WORKCAP!$C$12:$G$12</definedName>
    <definedName name="AR_CHANGE" localSheetId="15">'CASHFLOW-MOS'!#REF!</definedName>
    <definedName name="AR_CHANGE" localSheetId="10">WORKCAP!$C$13:$G$13</definedName>
    <definedName name="ARdata">WORKCAP!$A$54:$G$65</definedName>
    <definedName name="ARMonths">WORKCAP!$A$54:$A$65</definedName>
    <definedName name="CAP_EXPEND" localSheetId="15">'CASHFLOW-MOS'!#REF!</definedName>
    <definedName name="CAP_EXPEND" localSheetId="9">'PROP &amp; EQUIP'!$C$20:$G$20</definedName>
    <definedName name="CASH" localSheetId="15">'CASHFLOW-MOS'!#REF!</definedName>
    <definedName name="Cash_Begin" localSheetId="15">'CASHFLOW-MOS'!#REF!</definedName>
    <definedName name="COMMON_CHANGE" localSheetId="15">'CASHFLOW-MOS'!#REF!</definedName>
    <definedName name="CURR_POR_LTD_CHANGE" localSheetId="15">'CASHFLOW-MOS'!#REF!</definedName>
    <definedName name="DEPRECIATION" localSheetId="15">'CASHFLOW-MOS'!#REF!</definedName>
    <definedName name="DEPRECIATION" localSheetId="9">'PROP &amp; EQUIP'!#REF!</definedName>
    <definedName name="DIVIDENDS" localSheetId="15">'CASHFLOW-MOS'!#REF!</definedName>
    <definedName name="EARNINGS_BEFORE_INTEREST___TAXES" localSheetId="15">'CASHFLOW-MOS'!$B$23:$B$23</definedName>
    <definedName name="EARNINGS_BEFORE_INTEREST___TAXES" localSheetId="14">'INCOME-MOS'!$B$30:$B$30</definedName>
    <definedName name="EXTR_INC_EXCL_INT_INCOME" localSheetId="12">EXTRA!$C$22:$G$22</definedName>
    <definedName name="FA_DEBT_CHANGE" localSheetId="15">'CASHFLOW-MOS'!#REF!</definedName>
    <definedName name="GEN_ADMIN" localSheetId="14">'INCOME-MOS'!#REF!</definedName>
    <definedName name="GEN_ADMIN" localSheetId="4">'OPER EXP'!#REF!</definedName>
    <definedName name="INC_TAX_CHANGE" localSheetId="15">'CASHFLOW-MOS'!#REF!</definedName>
    <definedName name="INC_TAX_CHANGE" localSheetId="10">WORKCAP!#REF!</definedName>
    <definedName name="INC_TAX_LIAB" localSheetId="10">WORKCAP!#REF!</definedName>
    <definedName name="INC_TAX_RATE" localSheetId="14">'INCOME-MOS'!#REF!</definedName>
    <definedName name="INTEREST" localSheetId="14">'INCOME-MOS'!#REF!</definedName>
    <definedName name="INV" localSheetId="10">WORKCAP!$C$19:$G$19</definedName>
    <definedName name="INV_CHANGE" localSheetId="15">'CASHFLOW-MOS'!#REF!</definedName>
    <definedName name="INV_CHANGE" localSheetId="10">WORKCAP!$C$20:$G$20</definedName>
    <definedName name="investment">'VAL-2'!$B$8</definedName>
    <definedName name="MEZZ_DEBT_CHANGE" localSheetId="15">'CASHFLOW-MOS'!#REF!</definedName>
    <definedName name="Name" localSheetId="15">REVENUE!$A$1</definedName>
    <definedName name="Name" localSheetId="14">REVENUE!$A$1</definedName>
    <definedName name="NET_EARN" localSheetId="15">'CASHFLOW-MOS'!#REF!</definedName>
    <definedName name="NET_EARN" localSheetId="14">'INCOME-MOS'!#REF!</definedName>
    <definedName name="NET_EARNINGS" localSheetId="14">'INCOME-MOS'!$B$34:$B$34</definedName>
    <definedName name="NET_PL_EQUIP" localSheetId="9">'PROP &amp; EQUIP'!#REF!</definedName>
    <definedName name="OTHER_CA" localSheetId="10">WORKCAP!#REF!</definedName>
    <definedName name="OTHER_CA_CHANGE" localSheetId="15">'CASHFLOW-MOS'!#REF!</definedName>
    <definedName name="OTHER_CA_CHANGE" localSheetId="10">WORKCAP!#REF!</definedName>
    <definedName name="PE">'VAL-2'!$B$7</definedName>
    <definedName name="PREFERRED_CHANGE" localSheetId="15">'CASHFLOW-MOS'!#REF!</definedName>
    <definedName name="_xlnm.Print_Area" localSheetId="7">BREAKEVEN!$A$1:$G$16</definedName>
    <definedName name="_xlnm.Print_Area" localSheetId="15">'CASHFLOW-MOS'!$A$7:$P$70,'CASHFLOW-MOS'!$A$73:$T$104</definedName>
    <definedName name="_xlnm.Print_Area" localSheetId="3">'COST OF REV'!$A$1:$G$57</definedName>
    <definedName name="_xlnm.Print_Area" localSheetId="12">EXTRA!$A$1:$G$40</definedName>
    <definedName name="_xlnm.Print_Area" localSheetId="11">FUNDING!$A$1:$G$52</definedName>
    <definedName name="_xlnm.Print_Area" localSheetId="14">'INCOME-MOS'!$A$6:$P$66,'INCOME-MOS'!$A$70:$T$102</definedName>
    <definedName name="_xlnm.Print_Area" localSheetId="4">'OPER EXP'!$A$1:$G$90</definedName>
    <definedName name="_xlnm.Print_Area" localSheetId="8">PERSONNEL!$A$1:$H$82</definedName>
    <definedName name="_xlnm.Print_Area" localSheetId="9">'PROP &amp; EQUIP'!$A$1:$G$44</definedName>
    <definedName name="_xlnm.Print_Area" localSheetId="2">REVENUE!$A$1:$G$47</definedName>
    <definedName name="_xlnm.Print_Area" localSheetId="16">'VAL-1'!$A$1:$O$27</definedName>
    <definedName name="_xlnm.Print_Area" localSheetId="17">'VAL-2'!$A$1:$F$37</definedName>
    <definedName name="_xlnm.Print_Area" localSheetId="10">WORKCAP!$A$1:$G$101</definedName>
    <definedName name="_xlnm.Print_Titles" localSheetId="4">'OPER EXP'!#REF!</definedName>
    <definedName name="Rate">'VAL-2'!$B$6</definedName>
    <definedName name="RES_DEVELOP" localSheetId="14">'INCOME-MOS'!#REF!</definedName>
    <definedName name="RES_DEVELOP" localSheetId="4">'OPER EXP'!#REF!</definedName>
    <definedName name="SALES_MARKET" localSheetId="14">'INCOME-MOS'!#REF!</definedName>
    <definedName name="SALES_MARKET" localSheetId="4">'OPER EXP'!#REF!</definedName>
    <definedName name="STD_CHANGE" localSheetId="15">'CASHFLOW-MOS'!#REF!</definedName>
    <definedName name="TAXES" localSheetId="15">'CASHFLOW-MOS'!#REF!</definedName>
    <definedName name="TAXES" localSheetId="14">'INCOME-MOS'!#REF!</definedName>
    <definedName name="TOT_EXTR_INC_EXP" localSheetId="12">EXTRA!$C$17:$G$17</definedName>
    <definedName name="TOT_EXTR_INC_EXP" localSheetId="14">'INCOME-MOS'!#REF!</definedName>
    <definedName name="TOTAL_COG" localSheetId="14">'INCOME-MOS'!#REF!</definedName>
    <definedName name="TOTAL_COG" localSheetId="10">WORKCAP!$C$22:$G$22</definedName>
    <definedName name="TOTAL_OPER_EXP" localSheetId="4">'OPER EXP'!#REF!</definedName>
    <definedName name="TOTAL_REVENUE" localSheetId="14">'INCOME-MOS'!#REF!</definedName>
    <definedName name="TOTAL_REVENUE" localSheetId="4">'OPER EXP'!#REF!</definedName>
    <definedName name="TOTAL_REVENUE" localSheetId="10">WORKCAP!#REF!</definedName>
    <definedName name="WORK_CAP_CHANGE" localSheetId="10">WORKCAP!#REF!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9" i="14" l="1"/>
  <c r="E49" i="14"/>
  <c r="F49" i="14"/>
  <c r="G49" i="14"/>
  <c r="H49" i="14"/>
  <c r="D72" i="14"/>
  <c r="E72" i="14"/>
  <c r="F72" i="14"/>
  <c r="G72" i="14"/>
  <c r="H72" i="14"/>
  <c r="D39" i="14"/>
  <c r="E39" i="14"/>
  <c r="F39" i="14"/>
  <c r="G39" i="14"/>
  <c r="H39" i="14"/>
  <c r="D20" i="12"/>
  <c r="D15" i="5"/>
  <c r="E20" i="12"/>
  <c r="E15" i="5"/>
  <c r="F20" i="12"/>
  <c r="F15" i="5"/>
  <c r="G20" i="12"/>
  <c r="G15" i="5"/>
  <c r="D62" i="14"/>
  <c r="E62" i="14"/>
  <c r="F62" i="14"/>
  <c r="G62" i="14"/>
  <c r="H62" i="14"/>
  <c r="D43" i="14"/>
  <c r="E43" i="14"/>
  <c r="F43" i="14"/>
  <c r="G43" i="14"/>
  <c r="H43" i="14"/>
  <c r="D44" i="14"/>
  <c r="E44" i="14"/>
  <c r="F44" i="14"/>
  <c r="G44" i="14"/>
  <c r="H44" i="14"/>
  <c r="D40" i="14"/>
  <c r="E40" i="14"/>
  <c r="F40" i="14"/>
  <c r="G40" i="14"/>
  <c r="H40" i="14"/>
  <c r="D41" i="14"/>
  <c r="E41" i="14"/>
  <c r="F41" i="14"/>
  <c r="G41" i="14"/>
  <c r="H41" i="14"/>
  <c r="D42" i="14"/>
  <c r="E42" i="14"/>
  <c r="F42" i="14"/>
  <c r="G42" i="14"/>
  <c r="H42" i="14"/>
  <c r="D29" i="14"/>
  <c r="E29" i="14"/>
  <c r="F29" i="14"/>
  <c r="G29" i="14"/>
  <c r="H29" i="14"/>
  <c r="D58" i="14"/>
  <c r="B56" i="14"/>
  <c r="D56" i="14"/>
  <c r="E56" i="14"/>
  <c r="F56" i="14"/>
  <c r="G56" i="14"/>
  <c r="H56" i="14"/>
  <c r="D57" i="14"/>
  <c r="E57" i="14"/>
  <c r="F57" i="14"/>
  <c r="G57" i="14"/>
  <c r="H57" i="14"/>
  <c r="E58" i="14"/>
  <c r="F58" i="14"/>
  <c r="G58" i="14"/>
  <c r="H58" i="14"/>
  <c r="D55" i="14"/>
  <c r="E55" i="14"/>
  <c r="F55" i="14"/>
  <c r="G55" i="14"/>
  <c r="H55" i="14"/>
  <c r="E28" i="14"/>
  <c r="F28" i="14"/>
  <c r="G28" i="14"/>
  <c r="H28" i="14"/>
  <c r="D28" i="14"/>
  <c r="E27" i="14"/>
  <c r="F27" i="14"/>
  <c r="G27" i="14"/>
  <c r="H27" i="14"/>
  <c r="D27" i="14"/>
  <c r="E26" i="14"/>
  <c r="F26" i="14"/>
  <c r="G26" i="14"/>
  <c r="H26" i="14"/>
  <c r="D26" i="14"/>
  <c r="E25" i="14"/>
  <c r="F25" i="14"/>
  <c r="G25" i="14"/>
  <c r="H25" i="14"/>
  <c r="D25" i="14"/>
  <c r="E15" i="14"/>
  <c r="F15" i="14"/>
  <c r="G15" i="14"/>
  <c r="H15" i="14"/>
  <c r="D15" i="14"/>
  <c r="E14" i="14"/>
  <c r="F14" i="14"/>
  <c r="G14" i="14"/>
  <c r="H14" i="14"/>
  <c r="D14" i="14"/>
  <c r="E13" i="14"/>
  <c r="F13" i="14"/>
  <c r="G13" i="14"/>
  <c r="H13" i="14"/>
  <c r="D13" i="14"/>
  <c r="E12" i="14"/>
  <c r="F12" i="14"/>
  <c r="G12" i="14"/>
  <c r="H12" i="14"/>
  <c r="D12" i="14"/>
  <c r="E11" i="14"/>
  <c r="F11" i="14"/>
  <c r="G11" i="14"/>
  <c r="H11" i="14"/>
  <c r="D11" i="14"/>
  <c r="D68" i="14"/>
  <c r="E68" i="14"/>
  <c r="F68" i="14"/>
  <c r="G68" i="14"/>
  <c r="H68" i="14"/>
  <c r="G12" i="4"/>
  <c r="C20" i="12"/>
  <c r="B20" i="12"/>
  <c r="A1" i="5"/>
  <c r="A1" i="9"/>
  <c r="A1" i="34"/>
  <c r="A1" i="14"/>
  <c r="A1" i="10"/>
  <c r="A1" i="22"/>
  <c r="D25" i="43"/>
  <c r="E25" i="43"/>
  <c r="F25" i="43"/>
  <c r="G25" i="43"/>
  <c r="C25" i="43"/>
  <c r="D19" i="43"/>
  <c r="E19" i="43"/>
  <c r="F19" i="43"/>
  <c r="G19" i="43"/>
  <c r="C19" i="43"/>
  <c r="D13" i="43"/>
  <c r="E13" i="43"/>
  <c r="F13" i="43"/>
  <c r="G13" i="43"/>
  <c r="C13" i="43"/>
  <c r="H47" i="14"/>
  <c r="A1" i="13"/>
  <c r="A1" i="4"/>
  <c r="A1" i="8"/>
  <c r="A1" i="17"/>
  <c r="A1" i="16"/>
  <c r="A1" i="28"/>
  <c r="A1" i="12"/>
  <c r="A1" i="27"/>
  <c r="A1" i="3"/>
  <c r="A1" i="37"/>
  <c r="F9" i="40"/>
  <c r="B10" i="40"/>
  <c r="C24" i="16"/>
  <c r="C89" i="16"/>
  <c r="C34" i="16"/>
  <c r="C33" i="16"/>
  <c r="C32" i="16"/>
  <c r="D18" i="16"/>
  <c r="E18" i="16"/>
  <c r="E17" i="16"/>
  <c r="F18" i="16"/>
  <c r="F17" i="16"/>
  <c r="G18" i="16"/>
  <c r="G17" i="16"/>
  <c r="C18" i="16"/>
  <c r="C17" i="16"/>
  <c r="D17" i="14"/>
  <c r="D24" i="16"/>
  <c r="D89" i="16"/>
  <c r="C17" i="4"/>
  <c r="D17" i="4"/>
  <c r="E17" i="4"/>
  <c r="F17" i="4"/>
  <c r="G17" i="4"/>
  <c r="B17" i="4"/>
  <c r="B9" i="4"/>
  <c r="B31" i="5"/>
  <c r="C30" i="5"/>
  <c r="P35" i="28"/>
  <c r="B19" i="4"/>
  <c r="E22" i="4"/>
  <c r="D22" i="4"/>
  <c r="B22" i="4"/>
  <c r="B25" i="4"/>
  <c r="C22" i="4"/>
  <c r="F22" i="4"/>
  <c r="G22" i="4"/>
  <c r="C19" i="4"/>
  <c r="D19" i="4"/>
  <c r="E19" i="4"/>
  <c r="F19" i="4"/>
  <c r="G19" i="4"/>
  <c r="C25" i="4"/>
  <c r="D25" i="4"/>
  <c r="E25" i="4"/>
  <c r="F25" i="4"/>
  <c r="G25" i="4"/>
  <c r="B26" i="4"/>
  <c r="C26" i="4"/>
  <c r="G26" i="4"/>
  <c r="F26" i="4"/>
  <c r="E26" i="4"/>
  <c r="D26" i="4"/>
  <c r="B12" i="4"/>
  <c r="C12" i="4"/>
  <c r="D12" i="4"/>
  <c r="E12" i="4"/>
  <c r="F12" i="4"/>
  <c r="G24" i="16"/>
  <c r="G89" i="16"/>
  <c r="F24" i="16"/>
  <c r="F89" i="16"/>
  <c r="E24" i="16"/>
  <c r="E89" i="16"/>
  <c r="D70" i="14"/>
  <c r="D73" i="14"/>
  <c r="D60" i="14"/>
  <c r="D31" i="14"/>
  <c r="D34" i="14"/>
  <c r="D47" i="14"/>
  <c r="C11" i="8"/>
  <c r="C16" i="8"/>
  <c r="C39" i="9"/>
  <c r="C24" i="9"/>
  <c r="C16" i="17"/>
  <c r="H70" i="14"/>
  <c r="H73" i="14"/>
  <c r="H60" i="14"/>
  <c r="H17" i="14"/>
  <c r="H31" i="14"/>
  <c r="H34" i="14"/>
  <c r="H35" i="14"/>
  <c r="G19" i="10"/>
  <c r="G11" i="8"/>
  <c r="G16" i="8"/>
  <c r="G39" i="9"/>
  <c r="G24" i="9"/>
  <c r="G40" i="9"/>
  <c r="G70" i="14"/>
  <c r="G73" i="14"/>
  <c r="G60" i="14"/>
  <c r="G17" i="14"/>
  <c r="G31" i="14"/>
  <c r="F11" i="8"/>
  <c r="F16" i="8"/>
  <c r="F39" i="9"/>
  <c r="F24" i="9"/>
  <c r="F40" i="9"/>
  <c r="F70" i="14"/>
  <c r="F60" i="14"/>
  <c r="F17" i="14"/>
  <c r="F31" i="14"/>
  <c r="F34" i="14"/>
  <c r="F47" i="14"/>
  <c r="F50" i="14"/>
  <c r="F51" i="14"/>
  <c r="E26" i="10"/>
  <c r="E11" i="8"/>
  <c r="E16" i="8"/>
  <c r="E39" i="9"/>
  <c r="E24" i="9"/>
  <c r="E40" i="9"/>
  <c r="E70" i="14"/>
  <c r="E73" i="14"/>
  <c r="E60" i="14"/>
  <c r="E17" i="14"/>
  <c r="E31" i="14"/>
  <c r="E34" i="14"/>
  <c r="E35" i="14"/>
  <c r="D19" i="10"/>
  <c r="E47" i="14"/>
  <c r="D11" i="8"/>
  <c r="D16" i="8"/>
  <c r="D39" i="9"/>
  <c r="D24" i="9"/>
  <c r="D40" i="9"/>
  <c r="C19" i="9"/>
  <c r="C20" i="5"/>
  <c r="P25" i="28"/>
  <c r="C27" i="9"/>
  <c r="C21" i="5"/>
  <c r="P26" i="28"/>
  <c r="C28" i="9"/>
  <c r="C22" i="5"/>
  <c r="P27" i="28"/>
  <c r="C9" i="9"/>
  <c r="C14" i="9"/>
  <c r="C29" i="28"/>
  <c r="C25" i="5"/>
  <c r="P30" i="28"/>
  <c r="D19" i="9"/>
  <c r="C59" i="28"/>
  <c r="D27" i="9"/>
  <c r="D21" i="5"/>
  <c r="P60" i="28"/>
  <c r="D28" i="9"/>
  <c r="D9" i="9"/>
  <c r="C62" i="28"/>
  <c r="D14" i="9"/>
  <c r="D24" i="5"/>
  <c r="P63" i="28"/>
  <c r="D25" i="5"/>
  <c r="P64" i="28"/>
  <c r="E19" i="9"/>
  <c r="F93" i="28"/>
  <c r="E27" i="9"/>
  <c r="E28" i="9"/>
  <c r="E29" i="9"/>
  <c r="C95" i="28"/>
  <c r="E9" i="9"/>
  <c r="E23" i="5"/>
  <c r="R96" i="28"/>
  <c r="E14" i="9"/>
  <c r="C97" i="28"/>
  <c r="E25" i="5"/>
  <c r="R98" i="28"/>
  <c r="F19" i="9"/>
  <c r="K93" i="28"/>
  <c r="F27" i="9"/>
  <c r="F21" i="5"/>
  <c r="S94" i="28"/>
  <c r="F28" i="9"/>
  <c r="F22" i="5"/>
  <c r="S95" i="28"/>
  <c r="F9" i="9"/>
  <c r="F23" i="5"/>
  <c r="S96" i="28"/>
  <c r="F14" i="9"/>
  <c r="F25" i="5"/>
  <c r="S98" i="28"/>
  <c r="G19" i="9"/>
  <c r="G20" i="5"/>
  <c r="G27" i="9"/>
  <c r="P94" i="28"/>
  <c r="G28" i="9"/>
  <c r="G22" i="5"/>
  <c r="T95" i="28"/>
  <c r="G9" i="9"/>
  <c r="G14" i="9"/>
  <c r="M97" i="28"/>
  <c r="G25" i="5"/>
  <c r="T98" i="28"/>
  <c r="P98" i="28"/>
  <c r="Q98" i="28"/>
  <c r="K98" i="28"/>
  <c r="L98" i="28"/>
  <c r="F98" i="28"/>
  <c r="G98" i="28"/>
  <c r="N64" i="28"/>
  <c r="O64" i="28"/>
  <c r="N30" i="28"/>
  <c r="O30" i="28"/>
  <c r="L89" i="28"/>
  <c r="N99" i="28"/>
  <c r="O99" i="28"/>
  <c r="I99" i="28"/>
  <c r="J99" i="28"/>
  <c r="D99" i="28"/>
  <c r="E99" i="28"/>
  <c r="G89" i="28"/>
  <c r="P52" i="28"/>
  <c r="P53" i="28"/>
  <c r="P55" i="28"/>
  <c r="P57" i="28"/>
  <c r="P58" i="28"/>
  <c r="P66" i="28"/>
  <c r="R89" i="28"/>
  <c r="S89" i="28"/>
  <c r="T89" i="28"/>
  <c r="P46" i="28"/>
  <c r="D65" i="28"/>
  <c r="E65" i="28"/>
  <c r="F65" i="28"/>
  <c r="G65" i="28"/>
  <c r="H65" i="28"/>
  <c r="I65" i="28"/>
  <c r="J65" i="28"/>
  <c r="K65" i="28"/>
  <c r="L65" i="28"/>
  <c r="M65" i="28"/>
  <c r="B70" i="28"/>
  <c r="O55" i="28"/>
  <c r="P21" i="28"/>
  <c r="B36" i="28"/>
  <c r="O21" i="28"/>
  <c r="D31" i="28"/>
  <c r="E31" i="28"/>
  <c r="F31" i="28"/>
  <c r="G31" i="28"/>
  <c r="H31" i="28"/>
  <c r="I31" i="28"/>
  <c r="J31" i="28"/>
  <c r="K31" i="28"/>
  <c r="L31" i="28"/>
  <c r="M31" i="28"/>
  <c r="N62" i="28"/>
  <c r="N29" i="28"/>
  <c r="O29" i="28"/>
  <c r="N26" i="28"/>
  <c r="N27" i="28"/>
  <c r="N60" i="28"/>
  <c r="F97" i="28"/>
  <c r="G97" i="28"/>
  <c r="P97" i="28"/>
  <c r="K94" i="28"/>
  <c r="F95" i="28"/>
  <c r="K95" i="28"/>
  <c r="H95" i="28"/>
  <c r="M95" i="28"/>
  <c r="C93" i="28"/>
  <c r="C25" i="28"/>
  <c r="N25" i="28"/>
  <c r="M93" i="28"/>
  <c r="C60" i="27"/>
  <c r="D60" i="27"/>
  <c r="E60" i="27"/>
  <c r="F60" i="27"/>
  <c r="G60" i="27"/>
  <c r="H60" i="27"/>
  <c r="I60" i="27"/>
  <c r="J60" i="27"/>
  <c r="K60" i="27"/>
  <c r="L60" i="27"/>
  <c r="M60" i="27"/>
  <c r="N60" i="27"/>
  <c r="C11" i="27"/>
  <c r="D11" i="27"/>
  <c r="E11" i="27"/>
  <c r="C27" i="13"/>
  <c r="C35" i="16"/>
  <c r="C15" i="9"/>
  <c r="C31" i="9"/>
  <c r="D15" i="9"/>
  <c r="E15" i="9"/>
  <c r="F15" i="9"/>
  <c r="F31" i="9"/>
  <c r="G15" i="9"/>
  <c r="B15" i="9"/>
  <c r="B31" i="9"/>
  <c r="F29" i="9"/>
  <c r="D13" i="17"/>
  <c r="E13" i="17"/>
  <c r="F13" i="17"/>
  <c r="G13" i="17"/>
  <c r="C13" i="17"/>
  <c r="F16" i="17"/>
  <c r="J24" i="34"/>
  <c r="E16" i="34"/>
  <c r="E17" i="34"/>
  <c r="E18" i="34"/>
  <c r="E15" i="34"/>
  <c r="J25" i="34"/>
  <c r="J26" i="34"/>
  <c r="J27" i="34"/>
  <c r="J23" i="34"/>
  <c r="J15" i="34"/>
  <c r="J16" i="34"/>
  <c r="J17" i="34"/>
  <c r="J18" i="34"/>
  <c r="J14" i="34"/>
  <c r="E14" i="34"/>
  <c r="B18" i="37"/>
  <c r="B24" i="37"/>
  <c r="C18" i="37"/>
  <c r="C24" i="37"/>
  <c r="C27" i="37"/>
  <c r="D18" i="37"/>
  <c r="D24" i="37"/>
  <c r="D17" i="37"/>
  <c r="C17" i="37"/>
  <c r="B17" i="37"/>
  <c r="C11" i="16"/>
  <c r="G11" i="16"/>
  <c r="F11" i="16"/>
  <c r="E11" i="16"/>
  <c r="D11" i="16"/>
  <c r="D27" i="37"/>
  <c r="D26" i="37"/>
  <c r="G47" i="14"/>
  <c r="G78" i="14"/>
  <c r="E78" i="14"/>
  <c r="G74" i="14"/>
  <c r="G75" i="14"/>
  <c r="F40" i="10"/>
  <c r="H74" i="14"/>
  <c r="H75" i="14"/>
  <c r="G40" i="10"/>
  <c r="E74" i="14"/>
  <c r="E75" i="14"/>
  <c r="D40" i="10"/>
  <c r="D74" i="14"/>
  <c r="D75" i="14"/>
  <c r="C40" i="10"/>
  <c r="G20" i="14"/>
  <c r="F20" i="14"/>
  <c r="F21" i="14"/>
  <c r="E10" i="10"/>
  <c r="F78" i="14"/>
  <c r="D78" i="14"/>
  <c r="H78" i="14"/>
  <c r="E63" i="14"/>
  <c r="E64" i="14"/>
  <c r="D33" i="10"/>
  <c r="H63" i="14"/>
  <c r="H64" i="14"/>
  <c r="G33" i="10"/>
  <c r="O62" i="28"/>
  <c r="C29" i="9"/>
  <c r="H96" i="28"/>
  <c r="E31" i="9"/>
  <c r="C27" i="28"/>
  <c r="O27" i="28"/>
  <c r="D41" i="9"/>
  <c r="D12" i="17"/>
  <c r="C40" i="9"/>
  <c r="C41" i="9"/>
  <c r="C26" i="28"/>
  <c r="O26" i="28"/>
  <c r="K96" i="28"/>
  <c r="G93" i="28"/>
  <c r="F17" i="8"/>
  <c r="B20" i="4"/>
  <c r="E41" i="9"/>
  <c r="E31" i="3"/>
  <c r="R97" i="27"/>
  <c r="G41" i="9"/>
  <c r="G12" i="17"/>
  <c r="B11" i="4"/>
  <c r="C96" i="28"/>
  <c r="F96" i="28"/>
  <c r="N63" i="28"/>
  <c r="C63" i="28"/>
  <c r="P93" i="28"/>
  <c r="Q93" i="28"/>
  <c r="G95" i="28"/>
  <c r="G16" i="17"/>
  <c r="F41" i="9"/>
  <c r="F12" i="17"/>
  <c r="D16" i="17"/>
  <c r="C60" i="28"/>
  <c r="O60" i="28"/>
  <c r="G31" i="9"/>
  <c r="G29" i="9"/>
  <c r="E16" i="17"/>
  <c r="D31" i="9"/>
  <c r="P95" i="28"/>
  <c r="Q95" i="28"/>
  <c r="H94" i="28"/>
  <c r="L94" i="28"/>
  <c r="C71" i="16"/>
  <c r="C15" i="28"/>
  <c r="G31" i="12"/>
  <c r="G39" i="12"/>
  <c r="O88" i="28"/>
  <c r="O90" i="28"/>
  <c r="G43" i="12"/>
  <c r="P88" i="28"/>
  <c r="P90" i="28"/>
  <c r="G35" i="12"/>
  <c r="N88" i="28"/>
  <c r="N90" i="28"/>
  <c r="C38" i="12"/>
  <c r="K20" i="28"/>
  <c r="K22" i="28"/>
  <c r="C33" i="12"/>
  <c r="G20" i="28"/>
  <c r="G22" i="28"/>
  <c r="C28" i="12"/>
  <c r="C36" i="12"/>
  <c r="C42" i="12"/>
  <c r="N20" i="28"/>
  <c r="N22" i="28"/>
  <c r="C37" i="12"/>
  <c r="J20" i="28"/>
  <c r="J22" i="28"/>
  <c r="C32" i="12"/>
  <c r="C40" i="12"/>
  <c r="C34" i="12"/>
  <c r="H20" i="28"/>
  <c r="H22" i="28"/>
  <c r="C41" i="12"/>
  <c r="M20" i="28"/>
  <c r="M22" i="28"/>
  <c r="C29" i="12"/>
  <c r="D20" i="28"/>
  <c r="D22" i="28"/>
  <c r="D38" i="12"/>
  <c r="K54" i="28"/>
  <c r="K56" i="28"/>
  <c r="D33" i="12"/>
  <c r="G54" i="28"/>
  <c r="G56" i="28"/>
  <c r="D28" i="12"/>
  <c r="C54" i="28"/>
  <c r="D36" i="12"/>
  <c r="D42" i="12"/>
  <c r="N54" i="28"/>
  <c r="N56" i="28"/>
  <c r="D37" i="12"/>
  <c r="J54" i="28"/>
  <c r="J56" i="28"/>
  <c r="D32" i="12"/>
  <c r="D40" i="12"/>
  <c r="D34" i="12"/>
  <c r="H54" i="28"/>
  <c r="H56" i="28"/>
  <c r="D29" i="12"/>
  <c r="D54" i="28"/>
  <c r="D56" i="28"/>
  <c r="C30" i="12"/>
  <c r="E20" i="28"/>
  <c r="E22" i="28"/>
  <c r="D41" i="12"/>
  <c r="M54" i="28"/>
  <c r="M56" i="28"/>
  <c r="D30" i="12"/>
  <c r="E54" i="28"/>
  <c r="E56" i="28"/>
  <c r="F31" i="12"/>
  <c r="F35" i="12"/>
  <c r="I88" i="28"/>
  <c r="I90" i="28"/>
  <c r="F43" i="12"/>
  <c r="K88" i="28"/>
  <c r="K90" i="28"/>
  <c r="F39" i="12"/>
  <c r="J88" i="28"/>
  <c r="J90" i="28"/>
  <c r="E31" i="12"/>
  <c r="E39" i="12"/>
  <c r="E88" i="28"/>
  <c r="E90" i="28"/>
  <c r="E43" i="12"/>
  <c r="F88" i="28"/>
  <c r="F90" i="28"/>
  <c r="E35" i="12"/>
  <c r="D88" i="28"/>
  <c r="D90" i="28"/>
  <c r="G17" i="5"/>
  <c r="T90" i="28"/>
  <c r="F17" i="5"/>
  <c r="S90" i="28"/>
  <c r="R88" i="28"/>
  <c r="D50" i="14"/>
  <c r="D51" i="14"/>
  <c r="C26" i="10"/>
  <c r="C35" i="28"/>
  <c r="C17" i="8"/>
  <c r="D17" i="8"/>
  <c r="G17" i="8"/>
  <c r="E17" i="8"/>
  <c r="D17" i="5"/>
  <c r="P56" i="28"/>
  <c r="F63" i="14"/>
  <c r="F64" i="14"/>
  <c r="E33" i="10"/>
  <c r="F35" i="14"/>
  <c r="E19" i="10"/>
  <c r="D35" i="14"/>
  <c r="C19" i="10"/>
  <c r="B14" i="40"/>
  <c r="B31" i="40"/>
  <c r="B32" i="40"/>
  <c r="B33" i="40"/>
  <c r="B22" i="40"/>
  <c r="C11" i="17"/>
  <c r="C15" i="5"/>
  <c r="C17" i="5"/>
  <c r="P22" i="28"/>
  <c r="G11" i="17"/>
  <c r="C54" i="16"/>
  <c r="C14" i="28"/>
  <c r="C72" i="16"/>
  <c r="B13" i="40"/>
  <c r="B35" i="40"/>
  <c r="B17" i="40"/>
  <c r="D11" i="17"/>
  <c r="E11" i="17"/>
  <c r="F11" i="17"/>
  <c r="Q97" i="28"/>
  <c r="C73" i="16"/>
  <c r="B28" i="4"/>
  <c r="C119" i="27"/>
  <c r="D119" i="27"/>
  <c r="C55" i="16"/>
  <c r="A6" i="27"/>
  <c r="A38" i="27"/>
  <c r="G31" i="3"/>
  <c r="T97" i="27"/>
  <c r="C121" i="27"/>
  <c r="D121" i="27"/>
  <c r="B27" i="37"/>
  <c r="B26" i="37"/>
  <c r="T93" i="28"/>
  <c r="E21" i="5"/>
  <c r="R94" i="28"/>
  <c r="F94" i="28"/>
  <c r="C94" i="28"/>
  <c r="C26" i="37"/>
  <c r="O60" i="27"/>
  <c r="C56" i="16"/>
  <c r="A70" i="27"/>
  <c r="F24" i="5"/>
  <c r="S97" i="28"/>
  <c r="K97" i="28"/>
  <c r="D22" i="5"/>
  <c r="P61" i="28"/>
  <c r="N61" i="28"/>
  <c r="C61" i="28"/>
  <c r="O25" i="28"/>
  <c r="E50" i="14"/>
  <c r="E51" i="14"/>
  <c r="D26" i="10"/>
  <c r="E20" i="14"/>
  <c r="G34" i="14"/>
  <c r="L95" i="28"/>
  <c r="F20" i="5"/>
  <c r="H93" i="28"/>
  <c r="A7" i="28"/>
  <c r="A40" i="28"/>
  <c r="A73" i="28"/>
  <c r="G23" i="5"/>
  <c r="T96" i="28"/>
  <c r="M96" i="28"/>
  <c r="P96" i="28"/>
  <c r="D29" i="9"/>
  <c r="H97" i="28"/>
  <c r="G21" i="5"/>
  <c r="T94" i="28"/>
  <c r="M94" i="28"/>
  <c r="Q94" i="28"/>
  <c r="C23" i="5"/>
  <c r="P28" i="28"/>
  <c r="N28" i="28"/>
  <c r="N31" i="28"/>
  <c r="C28" i="28"/>
  <c r="F73" i="14"/>
  <c r="G63" i="14"/>
  <c r="G64" i="14"/>
  <c r="F33" i="10"/>
  <c r="D63" i="14"/>
  <c r="D64" i="14"/>
  <c r="C33" i="10"/>
  <c r="D20" i="5"/>
  <c r="N59" i="28"/>
  <c r="H50" i="14"/>
  <c r="H51" i="14"/>
  <c r="G26" i="10"/>
  <c r="H20" i="14"/>
  <c r="G24" i="5"/>
  <c r="T97" i="28"/>
  <c r="E24" i="5"/>
  <c r="R97" i="28"/>
  <c r="E22" i="5"/>
  <c r="R95" i="28"/>
  <c r="E20" i="5"/>
  <c r="D23" i="5"/>
  <c r="P62" i="28"/>
  <c r="C24" i="5"/>
  <c r="P29" i="28"/>
  <c r="D20" i="14"/>
  <c r="D17" i="16"/>
  <c r="C90" i="16"/>
  <c r="C88" i="16"/>
  <c r="C16" i="28"/>
  <c r="D90" i="16"/>
  <c r="E49" i="28"/>
  <c r="B36" i="40"/>
  <c r="C11" i="13"/>
  <c r="G96" i="28"/>
  <c r="F50" i="10"/>
  <c r="G50" i="10"/>
  <c r="E50" i="10"/>
  <c r="D50" i="10"/>
  <c r="C50" i="10"/>
  <c r="C47" i="10"/>
  <c r="D47" i="10"/>
  <c r="E47" i="10"/>
  <c r="F47" i="10"/>
  <c r="G47" i="10"/>
  <c r="G50" i="14"/>
  <c r="G51" i="14"/>
  <c r="F26" i="10"/>
  <c r="D80" i="14"/>
  <c r="F80" i="14"/>
  <c r="E80" i="14"/>
  <c r="H80" i="14"/>
  <c r="E67" i="10"/>
  <c r="H79" i="14"/>
  <c r="H21" i="14"/>
  <c r="G10" i="10"/>
  <c r="G67" i="10"/>
  <c r="E79" i="14"/>
  <c r="G21" i="14"/>
  <c r="F10" i="10"/>
  <c r="K99" i="28"/>
  <c r="L96" i="28"/>
  <c r="O63" i="28"/>
  <c r="C118" i="27"/>
  <c r="D118" i="27"/>
  <c r="G64" i="27"/>
  <c r="D31" i="3"/>
  <c r="P64" i="27"/>
  <c r="F99" i="28"/>
  <c r="C27" i="3"/>
  <c r="P28" i="27"/>
  <c r="C27" i="8"/>
  <c r="C34" i="8"/>
  <c r="K28" i="27"/>
  <c r="C29" i="8"/>
  <c r="G28" i="27"/>
  <c r="C24" i="8"/>
  <c r="C28" i="27"/>
  <c r="C31" i="8"/>
  <c r="C36" i="8"/>
  <c r="L28" i="27"/>
  <c r="C30" i="8"/>
  <c r="H28" i="27"/>
  <c r="C26" i="8"/>
  <c r="E28" i="27"/>
  <c r="C35" i="8"/>
  <c r="C37" i="8"/>
  <c r="M28" i="27"/>
  <c r="C32" i="8"/>
  <c r="I28" i="27"/>
  <c r="C25" i="8"/>
  <c r="D28" i="27"/>
  <c r="C39" i="8"/>
  <c r="C40" i="8"/>
  <c r="C38" i="8"/>
  <c r="N28" i="27"/>
  <c r="C33" i="8"/>
  <c r="J28" i="27"/>
  <c r="C28" i="8"/>
  <c r="F28" i="27"/>
  <c r="D27" i="3"/>
  <c r="P60" i="27"/>
  <c r="D27" i="8"/>
  <c r="D31" i="8"/>
  <c r="D35" i="8"/>
  <c r="D39" i="8"/>
  <c r="G27" i="3"/>
  <c r="T93" i="27"/>
  <c r="G39" i="8"/>
  <c r="G27" i="8"/>
  <c r="M93" i="27"/>
  <c r="G31" i="8"/>
  <c r="N93" i="27"/>
  <c r="G35" i="8"/>
  <c r="O93" i="27"/>
  <c r="E27" i="3"/>
  <c r="R93" i="27"/>
  <c r="E31" i="8"/>
  <c r="D93" i="27"/>
  <c r="E35" i="8"/>
  <c r="E93" i="27"/>
  <c r="E39" i="8"/>
  <c r="E27" i="8"/>
  <c r="C93" i="27"/>
  <c r="F27" i="3"/>
  <c r="S93" i="27"/>
  <c r="F35" i="8"/>
  <c r="J93" i="27"/>
  <c r="F39" i="8"/>
  <c r="F27" i="8"/>
  <c r="H93" i="27"/>
  <c r="F31" i="8"/>
  <c r="I93" i="27"/>
  <c r="E15" i="28"/>
  <c r="B29" i="4"/>
  <c r="E12" i="17"/>
  <c r="B13" i="4"/>
  <c r="C99" i="28"/>
  <c r="C65" i="28"/>
  <c r="F31" i="3"/>
  <c r="S97" i="27"/>
  <c r="C120" i="27"/>
  <c r="D120" i="27"/>
  <c r="I97" i="27"/>
  <c r="P99" i="28"/>
  <c r="Q99" i="28"/>
  <c r="D14" i="28"/>
  <c r="D15" i="28"/>
  <c r="E17" i="5"/>
  <c r="R90" i="28"/>
  <c r="T88" i="28"/>
  <c r="C43" i="12"/>
  <c r="L20" i="28"/>
  <c r="L22" i="28"/>
  <c r="I20" i="28"/>
  <c r="I22" i="28"/>
  <c r="C39" i="12"/>
  <c r="M88" i="28"/>
  <c r="G44" i="12"/>
  <c r="C88" i="28"/>
  <c r="E44" i="12"/>
  <c r="F44" i="12"/>
  <c r="H88" i="28"/>
  <c r="D43" i="12"/>
  <c r="L54" i="28"/>
  <c r="L56" i="28"/>
  <c r="D39" i="12"/>
  <c r="I54" i="28"/>
  <c r="I56" i="28"/>
  <c r="F54" i="28"/>
  <c r="F56" i="28"/>
  <c r="D35" i="12"/>
  <c r="D31" i="12"/>
  <c r="F20" i="28"/>
  <c r="F22" i="28"/>
  <c r="C35" i="12"/>
  <c r="C31" i="12"/>
  <c r="C20" i="28"/>
  <c r="S88" i="28"/>
  <c r="P54" i="28"/>
  <c r="C7" i="13"/>
  <c r="C14" i="43"/>
  <c r="C15" i="43"/>
  <c r="L97" i="28"/>
  <c r="F74" i="14"/>
  <c r="F75" i="14"/>
  <c r="E40" i="10"/>
  <c r="D21" i="14"/>
  <c r="C10" i="10"/>
  <c r="C67" i="10"/>
  <c r="P20" i="28"/>
  <c r="B18" i="40"/>
  <c r="C15" i="13"/>
  <c r="E14" i="28"/>
  <c r="B21" i="40"/>
  <c r="C51" i="10"/>
  <c r="D51" i="10"/>
  <c r="E51" i="10"/>
  <c r="F51" i="10"/>
  <c r="G51" i="10"/>
  <c r="B20" i="40"/>
  <c r="O28" i="28"/>
  <c r="Q96" i="28"/>
  <c r="O61" i="28"/>
  <c r="D26" i="5"/>
  <c r="P65" i="28"/>
  <c r="P59" i="28"/>
  <c r="C31" i="3"/>
  <c r="P32" i="27"/>
  <c r="C117" i="27"/>
  <c r="D117" i="27"/>
  <c r="C12" i="17"/>
  <c r="O59" i="28"/>
  <c r="N65" i="28"/>
  <c r="F26" i="5"/>
  <c r="S99" i="28"/>
  <c r="S93" i="28"/>
  <c r="N97" i="27"/>
  <c r="O97" i="27"/>
  <c r="M97" i="27"/>
  <c r="P97" i="27"/>
  <c r="D97" i="27"/>
  <c r="E97" i="27"/>
  <c r="F97" i="27"/>
  <c r="C97" i="27"/>
  <c r="C26" i="5"/>
  <c r="P31" i="28"/>
  <c r="G35" i="14"/>
  <c r="F19" i="10"/>
  <c r="D16" i="28"/>
  <c r="G94" i="28"/>
  <c r="G26" i="5"/>
  <c r="T99" i="28"/>
  <c r="E26" i="5"/>
  <c r="R99" i="28"/>
  <c r="R93" i="28"/>
  <c r="H99" i="28"/>
  <c r="L93" i="28"/>
  <c r="E16" i="28"/>
  <c r="M99" i="28"/>
  <c r="E21" i="14"/>
  <c r="D10" i="10"/>
  <c r="D67" i="10"/>
  <c r="C31" i="28"/>
  <c r="O31" i="28"/>
  <c r="C20" i="43"/>
  <c r="C21" i="43"/>
  <c r="D11" i="13"/>
  <c r="E11" i="13"/>
  <c r="C13" i="13"/>
  <c r="D7" i="13"/>
  <c r="D14" i="43"/>
  <c r="C9" i="13"/>
  <c r="G80" i="14"/>
  <c r="F67" i="10"/>
  <c r="D79" i="14"/>
  <c r="E81" i="14"/>
  <c r="G79" i="14"/>
  <c r="H81" i="14"/>
  <c r="D81" i="14"/>
  <c r="G81" i="14"/>
  <c r="L99" i="28"/>
  <c r="G99" i="28"/>
  <c r="M64" i="27"/>
  <c r="H64" i="27"/>
  <c r="E64" i="27"/>
  <c r="K64" i="27"/>
  <c r="F64" i="27"/>
  <c r="N64" i="27"/>
  <c r="C64" i="27"/>
  <c r="J64" i="27"/>
  <c r="D64" i="27"/>
  <c r="I64" i="27"/>
  <c r="L64" i="27"/>
  <c r="K93" i="27"/>
  <c r="F40" i="8"/>
  <c r="L93" i="27"/>
  <c r="F93" i="27"/>
  <c r="E40" i="8"/>
  <c r="G93" i="27"/>
  <c r="O28" i="27"/>
  <c r="D40" i="8"/>
  <c r="P93" i="27"/>
  <c r="G40" i="8"/>
  <c r="Q93" i="27"/>
  <c r="K97" i="27"/>
  <c r="O65" i="28"/>
  <c r="J97" i="27"/>
  <c r="H97" i="27"/>
  <c r="C44" i="12"/>
  <c r="C56" i="28"/>
  <c r="O56" i="28"/>
  <c r="O54" i="28"/>
  <c r="M90" i="28"/>
  <c r="Q90" i="28"/>
  <c r="Q88" i="28"/>
  <c r="H90" i="28"/>
  <c r="L90" i="28"/>
  <c r="L88" i="28"/>
  <c r="D44" i="12"/>
  <c r="C22" i="28"/>
  <c r="O20" i="28"/>
  <c r="O22" i="28"/>
  <c r="C90" i="28"/>
  <c r="G90" i="28"/>
  <c r="G88" i="28"/>
  <c r="D15" i="13"/>
  <c r="D26" i="43"/>
  <c r="D27" i="43"/>
  <c r="C26" i="43"/>
  <c r="C27" i="43"/>
  <c r="C35" i="43"/>
  <c r="C17" i="13"/>
  <c r="D20" i="40"/>
  <c r="D32" i="27"/>
  <c r="F32" i="27"/>
  <c r="C32" i="27"/>
  <c r="E32" i="27"/>
  <c r="G32" i="27"/>
  <c r="I32" i="27"/>
  <c r="K32" i="27"/>
  <c r="M32" i="27"/>
  <c r="J32" i="27"/>
  <c r="L32" i="27"/>
  <c r="N32" i="27"/>
  <c r="H32" i="27"/>
  <c r="G97" i="27"/>
  <c r="Q97" i="27"/>
  <c r="D20" i="43"/>
  <c r="D21" i="43"/>
  <c r="D13" i="13"/>
  <c r="E7" i="13"/>
  <c r="E9" i="13"/>
  <c r="D9" i="13"/>
  <c r="D10" i="22"/>
  <c r="F79" i="14"/>
  <c r="F81" i="14"/>
  <c r="O64" i="27"/>
  <c r="L97" i="27"/>
  <c r="D15" i="43"/>
  <c r="E15" i="13"/>
  <c r="E26" i="43"/>
  <c r="E27" i="43"/>
  <c r="D17" i="13"/>
  <c r="F11" i="13"/>
  <c r="E20" i="43"/>
  <c r="E21" i="43"/>
  <c r="F7" i="13"/>
  <c r="C19" i="13"/>
  <c r="E13" i="13"/>
  <c r="C10" i="22"/>
  <c r="O32" i="27"/>
  <c r="D19" i="13"/>
  <c r="D29" i="13"/>
  <c r="D37" i="16"/>
  <c r="E14" i="43"/>
  <c r="E15" i="43"/>
  <c r="D35" i="43"/>
  <c r="E17" i="13"/>
  <c r="E19" i="13"/>
  <c r="C28" i="13"/>
  <c r="C30" i="13"/>
  <c r="H11" i="27"/>
  <c r="C29" i="13"/>
  <c r="F15" i="13"/>
  <c r="F26" i="43"/>
  <c r="F27" i="43"/>
  <c r="G11" i="13"/>
  <c r="G20" i="43"/>
  <c r="G21" i="43"/>
  <c r="F20" i="43"/>
  <c r="F21" i="43"/>
  <c r="C6" i="16"/>
  <c r="C7" i="43"/>
  <c r="C29" i="43"/>
  <c r="G7" i="13"/>
  <c r="F14" i="43"/>
  <c r="F9" i="13"/>
  <c r="C7" i="3"/>
  <c r="C38" i="13"/>
  <c r="C32" i="13"/>
  <c r="C40" i="16"/>
  <c r="C43" i="13"/>
  <c r="C36" i="13"/>
  <c r="C33" i="13"/>
  <c r="C34" i="13"/>
  <c r="K11" i="27"/>
  <c r="C7" i="12"/>
  <c r="C21" i="12"/>
  <c r="C6" i="22"/>
  <c r="D7" i="14"/>
  <c r="D65" i="14"/>
  <c r="C37" i="13"/>
  <c r="C44" i="13"/>
  <c r="C7" i="10"/>
  <c r="C42" i="10"/>
  <c r="F13" i="13"/>
  <c r="D25" i="13"/>
  <c r="D43" i="27"/>
  <c r="D43" i="13"/>
  <c r="D7" i="3"/>
  <c r="P43" i="27"/>
  <c r="E7" i="14"/>
  <c r="E65" i="14"/>
  <c r="D6" i="16"/>
  <c r="D30" i="13"/>
  <c r="H43" i="27"/>
  <c r="D32" i="13"/>
  <c r="D40" i="16"/>
  <c r="D7" i="43"/>
  <c r="D29" i="43"/>
  <c r="D34" i="43"/>
  <c r="D36" i="43"/>
  <c r="D37" i="13"/>
  <c r="M43" i="27"/>
  <c r="D36" i="13"/>
  <c r="D44" i="16"/>
  <c r="D34" i="13"/>
  <c r="D42" i="16"/>
  <c r="D33" i="13"/>
  <c r="D6" i="22"/>
  <c r="D7" i="10"/>
  <c r="D42" i="10"/>
  <c r="D24" i="13"/>
  <c r="C43" i="27"/>
  <c r="D28" i="13"/>
  <c r="D36" i="16"/>
  <c r="D44" i="13"/>
  <c r="D7" i="12"/>
  <c r="D21" i="12"/>
  <c r="D26" i="13"/>
  <c r="D34" i="16"/>
  <c r="D38" i="13"/>
  <c r="D46" i="16"/>
  <c r="E29" i="13"/>
  <c r="E33" i="13"/>
  <c r="E28" i="13"/>
  <c r="E24" i="13"/>
  <c r="E34" i="13"/>
  <c r="E42" i="16"/>
  <c r="E37" i="13"/>
  <c r="E26" i="13"/>
  <c r="E34" i="16"/>
  <c r="E25" i="13"/>
  <c r="E38" i="13"/>
  <c r="G43" i="27"/>
  <c r="E7" i="43"/>
  <c r="E29" i="43"/>
  <c r="E34" i="43"/>
  <c r="E7" i="10"/>
  <c r="E42" i="10"/>
  <c r="E35" i="43"/>
  <c r="C34" i="43"/>
  <c r="C36" i="43"/>
  <c r="C30" i="43"/>
  <c r="P13" i="27"/>
  <c r="G15" i="13"/>
  <c r="G26" i="43"/>
  <c r="G27" i="43"/>
  <c r="D21" i="10"/>
  <c r="D22" i="10"/>
  <c r="P51" i="27"/>
  <c r="C21" i="10"/>
  <c r="C22" i="10"/>
  <c r="P19" i="27"/>
  <c r="C28" i="10"/>
  <c r="C29" i="10"/>
  <c r="C11" i="10"/>
  <c r="D76" i="14"/>
  <c r="G13" i="13"/>
  <c r="F10" i="22"/>
  <c r="E30" i="13"/>
  <c r="E38" i="16"/>
  <c r="E32" i="13"/>
  <c r="E40" i="16"/>
  <c r="E7" i="12"/>
  <c r="E21" i="12"/>
  <c r="F15" i="43"/>
  <c r="E6" i="22"/>
  <c r="E7" i="3"/>
  <c r="E43" i="13"/>
  <c r="E44" i="13"/>
  <c r="E6" i="16"/>
  <c r="F7" i="14"/>
  <c r="F65" i="14"/>
  <c r="E36" i="13"/>
  <c r="F17" i="13"/>
  <c r="F19" i="13"/>
  <c r="D75" i="16"/>
  <c r="D33" i="16"/>
  <c r="L43" i="27"/>
  <c r="K43" i="27"/>
  <c r="M11" i="27"/>
  <c r="C37" i="16"/>
  <c r="C58" i="16"/>
  <c r="G14" i="43"/>
  <c r="G9" i="13"/>
  <c r="J43" i="27"/>
  <c r="I11" i="27"/>
  <c r="J11" i="27"/>
  <c r="C36" i="16"/>
  <c r="C57" i="16"/>
  <c r="F14" i="28"/>
  <c r="C42" i="16"/>
  <c r="C79" i="16"/>
  <c r="C38" i="16"/>
  <c r="P11" i="27"/>
  <c r="C31" i="13"/>
  <c r="D58" i="16"/>
  <c r="C39" i="13"/>
  <c r="N11" i="27"/>
  <c r="C46" i="16"/>
  <c r="C35" i="10"/>
  <c r="C36" i="10"/>
  <c r="P21" i="27"/>
  <c r="C7" i="17"/>
  <c r="D82" i="14"/>
  <c r="C41" i="16"/>
  <c r="C78" i="16"/>
  <c r="D36" i="14"/>
  <c r="D52" i="14"/>
  <c r="D22" i="14"/>
  <c r="C58" i="10"/>
  <c r="C59" i="10"/>
  <c r="C14" i="10"/>
  <c r="G11" i="27"/>
  <c r="C35" i="13"/>
  <c r="L11" i="27"/>
  <c r="C44" i="16"/>
  <c r="F11" i="27"/>
  <c r="C45" i="16"/>
  <c r="C77" i="16"/>
  <c r="C60" i="16"/>
  <c r="D38" i="16"/>
  <c r="E10" i="22"/>
  <c r="E82" i="14"/>
  <c r="I43" i="27"/>
  <c r="D7" i="17"/>
  <c r="D45" i="16"/>
  <c r="D64" i="16"/>
  <c r="D35" i="13"/>
  <c r="F43" i="27"/>
  <c r="E52" i="14"/>
  <c r="D30" i="43"/>
  <c r="D31" i="43"/>
  <c r="G45" i="27"/>
  <c r="D41" i="16"/>
  <c r="D78" i="16"/>
  <c r="D39" i="13"/>
  <c r="D47" i="16"/>
  <c r="D31" i="13"/>
  <c r="E76" i="14"/>
  <c r="E36" i="14"/>
  <c r="E22" i="14"/>
  <c r="N43" i="27"/>
  <c r="E43" i="27"/>
  <c r="E45" i="27"/>
  <c r="D27" i="13"/>
  <c r="D32" i="16"/>
  <c r="D71" i="16"/>
  <c r="D11" i="10"/>
  <c r="D35" i="10"/>
  <c r="D36" i="10"/>
  <c r="P53" i="27"/>
  <c r="D58" i="10"/>
  <c r="D59" i="10"/>
  <c r="P55" i="27"/>
  <c r="D28" i="10"/>
  <c r="D29" i="10"/>
  <c r="P52" i="27"/>
  <c r="D14" i="10"/>
  <c r="C21" i="3"/>
  <c r="P23" i="27"/>
  <c r="F38" i="13"/>
  <c r="F36" i="13"/>
  <c r="F25" i="13"/>
  <c r="F34" i="13"/>
  <c r="F24" i="13"/>
  <c r="F37" i="13"/>
  <c r="P20" i="27"/>
  <c r="G17" i="13"/>
  <c r="G19" i="13"/>
  <c r="E30" i="43"/>
  <c r="R78" i="27"/>
  <c r="E36" i="43"/>
  <c r="E35" i="10"/>
  <c r="E36" i="10"/>
  <c r="E21" i="10"/>
  <c r="E22" i="10"/>
  <c r="F35" i="43"/>
  <c r="E14" i="10"/>
  <c r="E28" i="10"/>
  <c r="E29" i="10"/>
  <c r="E58" i="10"/>
  <c r="E59" i="10"/>
  <c r="E11" i="10"/>
  <c r="D23" i="10"/>
  <c r="D17" i="3"/>
  <c r="C23" i="10"/>
  <c r="C17" i="3"/>
  <c r="C37" i="10"/>
  <c r="C19" i="3"/>
  <c r="C30" i="10"/>
  <c r="C18" i="3"/>
  <c r="C15" i="10"/>
  <c r="F52" i="14"/>
  <c r="C45" i="27"/>
  <c r="D9" i="3"/>
  <c r="H45" i="27"/>
  <c r="G10" i="22"/>
  <c r="C31" i="43"/>
  <c r="G13" i="27"/>
  <c r="G15" i="27"/>
  <c r="C9" i="3"/>
  <c r="E7" i="17"/>
  <c r="E19" i="17"/>
  <c r="F82" i="14"/>
  <c r="F36" i="14"/>
  <c r="E94" i="16"/>
  <c r="E88" i="16"/>
  <c r="E33" i="16"/>
  <c r="E45" i="16"/>
  <c r="E27" i="13"/>
  <c r="E37" i="16"/>
  <c r="E31" i="13"/>
  <c r="E36" i="16"/>
  <c r="E41" i="16"/>
  <c r="E39" i="13"/>
  <c r="E44" i="16"/>
  <c r="G15" i="43"/>
  <c r="F22" i="14"/>
  <c r="F76" i="14"/>
  <c r="R76" i="27"/>
  <c r="C94" i="16"/>
  <c r="C76" i="16"/>
  <c r="I15" i="28"/>
  <c r="D57" i="16"/>
  <c r="G47" i="28"/>
  <c r="E35" i="13"/>
  <c r="E32" i="16"/>
  <c r="E46" i="16"/>
  <c r="F88" i="16"/>
  <c r="D19" i="17"/>
  <c r="C40" i="13"/>
  <c r="D92" i="16"/>
  <c r="D82" i="16"/>
  <c r="D19" i="16"/>
  <c r="D10" i="5"/>
  <c r="D74" i="16"/>
  <c r="G48" i="28"/>
  <c r="D91" i="16"/>
  <c r="F49" i="28"/>
  <c r="D43" i="43"/>
  <c r="D65" i="16"/>
  <c r="C47" i="16"/>
  <c r="D47" i="43"/>
  <c r="C96" i="16"/>
  <c r="G14" i="28"/>
  <c r="D81" i="16"/>
  <c r="D99" i="16"/>
  <c r="D25" i="16"/>
  <c r="K15" i="28"/>
  <c r="C74" i="16"/>
  <c r="F15" i="28"/>
  <c r="C93" i="16"/>
  <c r="D72" i="16"/>
  <c r="C95" i="16"/>
  <c r="C61" i="16"/>
  <c r="J14" i="28"/>
  <c r="O11" i="27"/>
  <c r="D43" i="16"/>
  <c r="C43" i="16"/>
  <c r="F7" i="43"/>
  <c r="F29" i="43"/>
  <c r="F34" i="43"/>
  <c r="C62" i="16"/>
  <c r="C75" i="16"/>
  <c r="C39" i="16"/>
  <c r="D55" i="16"/>
  <c r="C91" i="16"/>
  <c r="F16" i="28"/>
  <c r="C59" i="16"/>
  <c r="H14" i="28"/>
  <c r="C92" i="16"/>
  <c r="D50" i="43"/>
  <c r="D55" i="43"/>
  <c r="F7" i="12"/>
  <c r="D60" i="16"/>
  <c r="D94" i="16"/>
  <c r="F33" i="13"/>
  <c r="F44" i="13"/>
  <c r="F30" i="13"/>
  <c r="F32" i="13"/>
  <c r="F6" i="16"/>
  <c r="F6" i="22"/>
  <c r="F29" i="13"/>
  <c r="F43" i="13"/>
  <c r="F26" i="13"/>
  <c r="F7" i="10"/>
  <c r="F42" i="10"/>
  <c r="F7" i="3"/>
  <c r="G7" i="14"/>
  <c r="G65" i="14"/>
  <c r="F28" i="13"/>
  <c r="C82" i="16"/>
  <c r="D88" i="16"/>
  <c r="D49" i="28"/>
  <c r="C65" i="16"/>
  <c r="C12" i="16"/>
  <c r="C10" i="4"/>
  <c r="C98" i="16"/>
  <c r="C63" i="16"/>
  <c r="C97" i="16"/>
  <c r="C80" i="16"/>
  <c r="L15" i="28"/>
  <c r="C64" i="16"/>
  <c r="C81" i="16"/>
  <c r="C60" i="10"/>
  <c r="C99" i="16"/>
  <c r="C25" i="16"/>
  <c r="C18" i="4"/>
  <c r="D77" i="16"/>
  <c r="J15" i="28"/>
  <c r="D79" i="16"/>
  <c r="D62" i="16"/>
  <c r="D80" i="16"/>
  <c r="D97" i="16"/>
  <c r="D63" i="16"/>
  <c r="J50" i="28"/>
  <c r="D96" i="16"/>
  <c r="D76" i="16"/>
  <c r="H48" i="28"/>
  <c r="D93" i="16"/>
  <c r="D59" i="16"/>
  <c r="H47" i="28"/>
  <c r="D73" i="16"/>
  <c r="D56" i="16"/>
  <c r="G50" i="28"/>
  <c r="D61" i="16"/>
  <c r="J47" i="28"/>
  <c r="P45" i="27"/>
  <c r="D48" i="43"/>
  <c r="D39" i="16"/>
  <c r="D95" i="16"/>
  <c r="J49" i="28"/>
  <c r="D56" i="43"/>
  <c r="L45" i="27"/>
  <c r="N45" i="27"/>
  <c r="D52" i="43"/>
  <c r="D51" i="43"/>
  <c r="D46" i="43"/>
  <c r="D98" i="16"/>
  <c r="D49" i="43"/>
  <c r="N47" i="28"/>
  <c r="K45" i="27"/>
  <c r="K47" i="27"/>
  <c r="M45" i="27"/>
  <c r="D45" i="27"/>
  <c r="D45" i="43"/>
  <c r="D44" i="43"/>
  <c r="D42" i="43"/>
  <c r="D54" i="43"/>
  <c r="D53" i="43"/>
  <c r="D41" i="43"/>
  <c r="F45" i="27"/>
  <c r="I45" i="27"/>
  <c r="J45" i="27"/>
  <c r="J47" i="27"/>
  <c r="D40" i="13"/>
  <c r="D48" i="16"/>
  <c r="O43" i="27"/>
  <c r="D19" i="3"/>
  <c r="D37" i="10"/>
  <c r="I53" i="27"/>
  <c r="D35" i="16"/>
  <c r="D15" i="10"/>
  <c r="P50" i="27"/>
  <c r="D48" i="28"/>
  <c r="D54" i="16"/>
  <c r="D47" i="28"/>
  <c r="D60" i="10"/>
  <c r="F55" i="27"/>
  <c r="D30" i="10"/>
  <c r="F52" i="27"/>
  <c r="D21" i="3"/>
  <c r="D18" i="3"/>
  <c r="E15" i="10"/>
  <c r="R83" i="27"/>
  <c r="E21" i="3"/>
  <c r="R88" i="27"/>
  <c r="G33" i="13"/>
  <c r="G41" i="16"/>
  <c r="G25" i="13"/>
  <c r="G33" i="16"/>
  <c r="G37" i="13"/>
  <c r="G34" i="13"/>
  <c r="G42" i="16"/>
  <c r="G24" i="13"/>
  <c r="G32" i="16"/>
  <c r="G38" i="13"/>
  <c r="G46" i="16"/>
  <c r="K51" i="27"/>
  <c r="G51" i="27"/>
  <c r="D51" i="27"/>
  <c r="J51" i="27"/>
  <c r="F51" i="27"/>
  <c r="L51" i="27"/>
  <c r="H51" i="27"/>
  <c r="C51" i="27"/>
  <c r="I51" i="27"/>
  <c r="E51" i="27"/>
  <c r="M51" i="27"/>
  <c r="N51" i="27"/>
  <c r="C16" i="3"/>
  <c r="P18" i="27"/>
  <c r="E17" i="3"/>
  <c r="R84" i="27"/>
  <c r="M23" i="27"/>
  <c r="I23" i="27"/>
  <c r="E23" i="27"/>
  <c r="G23" i="27"/>
  <c r="L23" i="27"/>
  <c r="D23" i="27"/>
  <c r="N23" i="27"/>
  <c r="J23" i="27"/>
  <c r="F23" i="27"/>
  <c r="K23" i="27"/>
  <c r="C23" i="27"/>
  <c r="H23" i="27"/>
  <c r="K19" i="27"/>
  <c r="G19" i="27"/>
  <c r="C19" i="27"/>
  <c r="M19" i="27"/>
  <c r="E19" i="27"/>
  <c r="J19" i="27"/>
  <c r="L19" i="27"/>
  <c r="H19" i="27"/>
  <c r="D19" i="27"/>
  <c r="I19" i="27"/>
  <c r="N19" i="27"/>
  <c r="F19" i="27"/>
  <c r="K21" i="27"/>
  <c r="G21" i="27"/>
  <c r="C21" i="27"/>
  <c r="I21" i="27"/>
  <c r="N21" i="27"/>
  <c r="J21" i="27"/>
  <c r="F21" i="27"/>
  <c r="L21" i="27"/>
  <c r="H21" i="27"/>
  <c r="D21" i="27"/>
  <c r="M21" i="27"/>
  <c r="E21" i="27"/>
  <c r="E37" i="10"/>
  <c r="R86" i="27"/>
  <c r="N20" i="27"/>
  <c r="J20" i="27"/>
  <c r="E20" i="27"/>
  <c r="K20" i="27"/>
  <c r="G20" i="27"/>
  <c r="M20" i="27"/>
  <c r="H20" i="27"/>
  <c r="D20" i="27"/>
  <c r="F20" i="27"/>
  <c r="I20" i="27"/>
  <c r="L20" i="27"/>
  <c r="C20" i="27"/>
  <c r="E18" i="3"/>
  <c r="R85" i="27"/>
  <c r="D76" i="27"/>
  <c r="E47" i="16"/>
  <c r="E99" i="16"/>
  <c r="F76" i="27"/>
  <c r="E76" i="27"/>
  <c r="C76" i="27"/>
  <c r="H7" i="14"/>
  <c r="H65" i="14"/>
  <c r="G6" i="22"/>
  <c r="E23" i="10"/>
  <c r="E31" i="43"/>
  <c r="E56" i="43"/>
  <c r="E9" i="3"/>
  <c r="E12" i="3"/>
  <c r="R80" i="27"/>
  <c r="E40" i="13"/>
  <c r="E43" i="16"/>
  <c r="E79" i="16"/>
  <c r="L14" i="28"/>
  <c r="E30" i="10"/>
  <c r="E19" i="3"/>
  <c r="E60" i="10"/>
  <c r="G35" i="43"/>
  <c r="F30" i="43"/>
  <c r="S78" i="27"/>
  <c r="G28" i="13"/>
  <c r="G36" i="16"/>
  <c r="C98" i="10"/>
  <c r="C102" i="10"/>
  <c r="C106" i="10"/>
  <c r="C94" i="10"/>
  <c r="C97" i="10"/>
  <c r="C101" i="10"/>
  <c r="C105" i="10"/>
  <c r="C109" i="10"/>
  <c r="C96" i="10"/>
  <c r="C100" i="10"/>
  <c r="C104" i="10"/>
  <c r="C108" i="10"/>
  <c r="C95" i="10"/>
  <c r="C99" i="10"/>
  <c r="C103" i="10"/>
  <c r="C107" i="10"/>
  <c r="C43" i="10"/>
  <c r="E43" i="10"/>
  <c r="R87" i="27"/>
  <c r="D43" i="10"/>
  <c r="C16" i="10"/>
  <c r="F28" i="10"/>
  <c r="F29" i="10"/>
  <c r="F21" i="10"/>
  <c r="F22" i="10"/>
  <c r="S84" i="27"/>
  <c r="F58" i="10"/>
  <c r="F59" i="10"/>
  <c r="S88" i="27"/>
  <c r="G22" i="14"/>
  <c r="C55" i="43"/>
  <c r="J13" i="27"/>
  <c r="J15" i="27"/>
  <c r="C46" i="43"/>
  <c r="C44" i="43"/>
  <c r="D12" i="3"/>
  <c r="D10" i="3"/>
  <c r="C47" i="43"/>
  <c r="G32" i="13"/>
  <c r="G40" i="16"/>
  <c r="G6" i="16"/>
  <c r="G26" i="13"/>
  <c r="G34" i="16"/>
  <c r="G44" i="13"/>
  <c r="G7" i="12"/>
  <c r="G21" i="12"/>
  <c r="G7" i="43"/>
  <c r="G29" i="43"/>
  <c r="G34" i="43"/>
  <c r="L16" i="28"/>
  <c r="C50" i="43"/>
  <c r="C54" i="43"/>
  <c r="C48" i="43"/>
  <c r="E13" i="27"/>
  <c r="E15" i="27"/>
  <c r="D13" i="27"/>
  <c r="D15" i="27"/>
  <c r="C13" i="27"/>
  <c r="C15" i="27"/>
  <c r="K13" i="27"/>
  <c r="K15" i="27"/>
  <c r="H13" i="27"/>
  <c r="H15" i="27"/>
  <c r="C10" i="3"/>
  <c r="C12" i="3"/>
  <c r="C49" i="43"/>
  <c r="C53" i="43"/>
  <c r="C45" i="43"/>
  <c r="C43" i="43"/>
  <c r="C41" i="43"/>
  <c r="N13" i="27"/>
  <c r="N15" i="27"/>
  <c r="F13" i="27"/>
  <c r="F15" i="27"/>
  <c r="L13" i="27"/>
  <c r="L15" i="27"/>
  <c r="C51" i="43"/>
  <c r="C42" i="43"/>
  <c r="C52" i="43"/>
  <c r="C56" i="43"/>
  <c r="M13" i="27"/>
  <c r="M15" i="27"/>
  <c r="I13" i="27"/>
  <c r="I15" i="27"/>
  <c r="M50" i="28"/>
  <c r="K16" i="28"/>
  <c r="N50" i="28"/>
  <c r="I14" i="28"/>
  <c r="J48" i="28"/>
  <c r="K48" i="28"/>
  <c r="F40" i="16"/>
  <c r="E98" i="16"/>
  <c r="E39" i="16"/>
  <c r="E93" i="16"/>
  <c r="G7" i="10"/>
  <c r="G42" i="10"/>
  <c r="G43" i="13"/>
  <c r="G29" i="13"/>
  <c r="G30" i="13"/>
  <c r="I16" i="28"/>
  <c r="E97" i="16"/>
  <c r="F44" i="16"/>
  <c r="E91" i="16"/>
  <c r="E92" i="16"/>
  <c r="E35" i="16"/>
  <c r="E90" i="16"/>
  <c r="C83" i="28"/>
  <c r="G36" i="13"/>
  <c r="G44" i="16"/>
  <c r="G7" i="3"/>
  <c r="T76" i="27"/>
  <c r="D50" i="28"/>
  <c r="D12" i="16"/>
  <c r="D13" i="16"/>
  <c r="D9" i="5"/>
  <c r="P47" i="28"/>
  <c r="C48" i="16"/>
  <c r="J16" i="28"/>
  <c r="H16" i="28"/>
  <c r="G49" i="28"/>
  <c r="N48" i="28"/>
  <c r="C20" i="4"/>
  <c r="G15" i="28"/>
  <c r="P50" i="28"/>
  <c r="I49" i="28"/>
  <c r="M48" i="28"/>
  <c r="N49" i="28"/>
  <c r="E47" i="28"/>
  <c r="E50" i="28"/>
  <c r="C13" i="16"/>
  <c r="C9" i="5"/>
  <c r="P14" i="28"/>
  <c r="E48" i="28"/>
  <c r="H15" i="28"/>
  <c r="F36" i="16"/>
  <c r="F34" i="16"/>
  <c r="F46" i="16"/>
  <c r="G88" i="16"/>
  <c r="F38" i="16"/>
  <c r="F33" i="16"/>
  <c r="F45" i="16"/>
  <c r="F32" i="16"/>
  <c r="F42" i="16"/>
  <c r="C26" i="16"/>
  <c r="C11" i="5"/>
  <c r="P16" i="28"/>
  <c r="D26" i="16"/>
  <c r="D11" i="5"/>
  <c r="P49" i="28"/>
  <c r="F27" i="13"/>
  <c r="K14" i="28"/>
  <c r="F37" i="16"/>
  <c r="F41" i="16"/>
  <c r="F36" i="43"/>
  <c r="G36" i="14"/>
  <c r="G16" i="28"/>
  <c r="F35" i="10"/>
  <c r="F36" i="10"/>
  <c r="S86" i="27"/>
  <c r="F7" i="17"/>
  <c r="F19" i="17"/>
  <c r="F21" i="12"/>
  <c r="S76" i="27"/>
  <c r="F11" i="10"/>
  <c r="F35" i="13"/>
  <c r="G82" i="14"/>
  <c r="G52" i="14"/>
  <c r="G76" i="14"/>
  <c r="F31" i="13"/>
  <c r="F14" i="10"/>
  <c r="F39" i="13"/>
  <c r="C50" i="28"/>
  <c r="C19" i="16"/>
  <c r="C48" i="28"/>
  <c r="C49" i="28"/>
  <c r="M14" i="28"/>
  <c r="N14" i="28"/>
  <c r="M15" i="28"/>
  <c r="N15" i="28"/>
  <c r="M16" i="28"/>
  <c r="N16" i="28"/>
  <c r="L49" i="28"/>
  <c r="L48" i="28"/>
  <c r="M49" i="28"/>
  <c r="L50" i="28"/>
  <c r="L47" i="28"/>
  <c r="I48" i="28"/>
  <c r="M47" i="27"/>
  <c r="I47" i="27"/>
  <c r="K49" i="28"/>
  <c r="M47" i="28"/>
  <c r="K50" i="28"/>
  <c r="F47" i="28"/>
  <c r="N47" i="27"/>
  <c r="D47" i="27"/>
  <c r="I50" i="28"/>
  <c r="H50" i="28"/>
  <c r="I47" i="28"/>
  <c r="F50" i="28"/>
  <c r="H49" i="28"/>
  <c r="L47" i="27"/>
  <c r="H47" i="27"/>
  <c r="F48" i="28"/>
  <c r="C47" i="27"/>
  <c r="G47" i="27"/>
  <c r="D18" i="4"/>
  <c r="K47" i="28"/>
  <c r="D57" i="43"/>
  <c r="E44" i="43"/>
  <c r="D52" i="27"/>
  <c r="H52" i="27"/>
  <c r="D16" i="3"/>
  <c r="K53" i="27"/>
  <c r="L53" i="27"/>
  <c r="F53" i="27"/>
  <c r="K52" i="27"/>
  <c r="G53" i="27"/>
  <c r="D95" i="10"/>
  <c r="D16" i="10"/>
  <c r="D73" i="10"/>
  <c r="C52" i="27"/>
  <c r="N53" i="27"/>
  <c r="D53" i="27"/>
  <c r="J53" i="27"/>
  <c r="E53" i="27"/>
  <c r="H53" i="27"/>
  <c r="M53" i="27"/>
  <c r="C53" i="27"/>
  <c r="M55" i="27"/>
  <c r="C47" i="28"/>
  <c r="D101" i="10"/>
  <c r="M52" i="27"/>
  <c r="I52" i="27"/>
  <c r="H55" i="27"/>
  <c r="D100" i="10"/>
  <c r="C55" i="27"/>
  <c r="D108" i="10"/>
  <c r="D98" i="10"/>
  <c r="D97" i="10"/>
  <c r="N55" i="27"/>
  <c r="D55" i="27"/>
  <c r="I55" i="27"/>
  <c r="D107" i="10"/>
  <c r="D109" i="10"/>
  <c r="D105" i="10"/>
  <c r="D99" i="10"/>
  <c r="D106" i="10"/>
  <c r="N52" i="27"/>
  <c r="L52" i="27"/>
  <c r="J52" i="27"/>
  <c r="E55" i="27"/>
  <c r="L55" i="27"/>
  <c r="J55" i="27"/>
  <c r="D94" i="10"/>
  <c r="D102" i="10"/>
  <c r="D104" i="10"/>
  <c r="D103" i="10"/>
  <c r="D96" i="10"/>
  <c r="E52" i="27"/>
  <c r="G52" i="27"/>
  <c r="K55" i="27"/>
  <c r="G55" i="27"/>
  <c r="D20" i="16"/>
  <c r="P48" i="28"/>
  <c r="C10" i="5"/>
  <c r="E16" i="10"/>
  <c r="E89" i="10"/>
  <c r="E16" i="3"/>
  <c r="O20" i="27"/>
  <c r="E84" i="27"/>
  <c r="C84" i="27"/>
  <c r="D84" i="27"/>
  <c r="F84" i="27"/>
  <c r="O19" i="27"/>
  <c r="O23" i="27"/>
  <c r="E82" i="16"/>
  <c r="F82" i="28"/>
  <c r="O51" i="27"/>
  <c r="M18" i="27"/>
  <c r="I18" i="27"/>
  <c r="E18" i="27"/>
  <c r="K18" i="27"/>
  <c r="C18" i="27"/>
  <c r="L18" i="27"/>
  <c r="H18" i="27"/>
  <c r="N18" i="27"/>
  <c r="J18" i="27"/>
  <c r="F18" i="27"/>
  <c r="G18" i="27"/>
  <c r="D18" i="27"/>
  <c r="E109" i="10"/>
  <c r="E88" i="27"/>
  <c r="D88" i="27"/>
  <c r="F88" i="27"/>
  <c r="C88" i="27"/>
  <c r="E85" i="27"/>
  <c r="C85" i="27"/>
  <c r="F85" i="27"/>
  <c r="D85" i="27"/>
  <c r="E86" i="27"/>
  <c r="C86" i="27"/>
  <c r="D86" i="27"/>
  <c r="F86" i="27"/>
  <c r="E65" i="16"/>
  <c r="E12" i="16"/>
  <c r="P54" i="27"/>
  <c r="D62" i="10"/>
  <c r="P56" i="27"/>
  <c r="E62" i="10"/>
  <c r="R89" i="27"/>
  <c r="C20" i="3"/>
  <c r="P22" i="27"/>
  <c r="C62" i="10"/>
  <c r="P24" i="27"/>
  <c r="O21" i="27"/>
  <c r="S85" i="27"/>
  <c r="F43" i="16"/>
  <c r="F96" i="16"/>
  <c r="F35" i="16"/>
  <c r="F73" i="16"/>
  <c r="E48" i="16"/>
  <c r="G88" i="27"/>
  <c r="D20" i="3"/>
  <c r="D44" i="10"/>
  <c r="E20" i="3"/>
  <c r="E44" i="10"/>
  <c r="H82" i="14"/>
  <c r="E13" i="3"/>
  <c r="E27" i="17"/>
  <c r="H52" i="14"/>
  <c r="H22" i="14"/>
  <c r="G76" i="27"/>
  <c r="H76" i="14"/>
  <c r="H36" i="14"/>
  <c r="F78" i="27"/>
  <c r="F80" i="27"/>
  <c r="E48" i="43"/>
  <c r="E105" i="10"/>
  <c r="E78" i="27"/>
  <c r="E80" i="27"/>
  <c r="E52" i="43"/>
  <c r="E10" i="3"/>
  <c r="E8" i="17"/>
  <c r="E101" i="10"/>
  <c r="D78" i="27"/>
  <c r="D80" i="27"/>
  <c r="E96" i="16"/>
  <c r="E83" i="28"/>
  <c r="E97" i="10"/>
  <c r="E62" i="16"/>
  <c r="G30" i="43"/>
  <c r="T78" i="27"/>
  <c r="G31" i="13"/>
  <c r="F21" i="3"/>
  <c r="F37" i="10"/>
  <c r="F19" i="3"/>
  <c r="F30" i="10"/>
  <c r="I85" i="27"/>
  <c r="F18" i="3"/>
  <c r="F23" i="10"/>
  <c r="I84" i="27"/>
  <c r="F17" i="3"/>
  <c r="C110" i="10"/>
  <c r="C89" i="10"/>
  <c r="F60" i="10"/>
  <c r="K88" i="27"/>
  <c r="C44" i="10"/>
  <c r="C66" i="10"/>
  <c r="D66" i="10"/>
  <c r="E66" i="10"/>
  <c r="G21" i="10"/>
  <c r="G22" i="10"/>
  <c r="T84" i="27"/>
  <c r="G28" i="10"/>
  <c r="G29" i="10"/>
  <c r="C76" i="10"/>
  <c r="G14" i="10"/>
  <c r="F9" i="3"/>
  <c r="G39" i="13"/>
  <c r="F31" i="43"/>
  <c r="F48" i="43"/>
  <c r="G27" i="13"/>
  <c r="G35" i="16"/>
  <c r="G73" i="16"/>
  <c r="G36" i="43"/>
  <c r="D13" i="3"/>
  <c r="D27" i="17"/>
  <c r="D8" i="17"/>
  <c r="P47" i="27"/>
  <c r="C13" i="3"/>
  <c r="C27" i="17"/>
  <c r="P15" i="27"/>
  <c r="C8" i="17"/>
  <c r="C78" i="27"/>
  <c r="C57" i="43"/>
  <c r="O13" i="27"/>
  <c r="O15" i="27"/>
  <c r="G9" i="3"/>
  <c r="G10" i="3"/>
  <c r="E47" i="27"/>
  <c r="G7" i="17"/>
  <c r="G19" i="17"/>
  <c r="G58" i="10"/>
  <c r="G59" i="10"/>
  <c r="T88" i="27"/>
  <c r="G35" i="10"/>
  <c r="G36" i="10"/>
  <c r="T86" i="27"/>
  <c r="G11" i="10"/>
  <c r="E95" i="16"/>
  <c r="E59" i="16"/>
  <c r="C84" i="28"/>
  <c r="E56" i="16"/>
  <c r="C81" i="28"/>
  <c r="E73" i="16"/>
  <c r="C82" i="28"/>
  <c r="D10" i="4"/>
  <c r="G35" i="13"/>
  <c r="G97" i="16"/>
  <c r="F91" i="16"/>
  <c r="E76" i="16"/>
  <c r="E82" i="28"/>
  <c r="E84" i="28"/>
  <c r="F97" i="16"/>
  <c r="F92" i="16"/>
  <c r="G91" i="16"/>
  <c r="F98" i="16"/>
  <c r="G38" i="16"/>
  <c r="G94" i="16"/>
  <c r="F94" i="16"/>
  <c r="G37" i="16"/>
  <c r="G45" i="16"/>
  <c r="H76" i="27"/>
  <c r="O16" i="28"/>
  <c r="O15" i="28"/>
  <c r="F47" i="16"/>
  <c r="F65" i="16"/>
  <c r="J76" i="27"/>
  <c r="F40" i="13"/>
  <c r="K76" i="27"/>
  <c r="F15" i="10"/>
  <c r="F39" i="16"/>
  <c r="I76" i="27"/>
  <c r="C20" i="16"/>
  <c r="P15" i="28"/>
  <c r="O14" i="28"/>
  <c r="O48" i="28"/>
  <c r="O49" i="28"/>
  <c r="D83" i="28"/>
  <c r="O50" i="28"/>
  <c r="F84" i="28"/>
  <c r="E25" i="16"/>
  <c r="D20" i="4"/>
  <c r="O47" i="28"/>
  <c r="D110" i="10"/>
  <c r="D84" i="10"/>
  <c r="D80" i="10"/>
  <c r="D85" i="10"/>
  <c r="H50" i="27"/>
  <c r="D82" i="10"/>
  <c r="D75" i="10"/>
  <c r="I50" i="27"/>
  <c r="D89" i="10"/>
  <c r="E50" i="27"/>
  <c r="L50" i="27"/>
  <c r="D79" i="10"/>
  <c r="M50" i="27"/>
  <c r="D50" i="27"/>
  <c r="O53" i="27"/>
  <c r="O52" i="27"/>
  <c r="D86" i="10"/>
  <c r="D81" i="10"/>
  <c r="D74" i="10"/>
  <c r="D76" i="10"/>
  <c r="N50" i="27"/>
  <c r="C50" i="27"/>
  <c r="G50" i="27"/>
  <c r="D87" i="10"/>
  <c r="D83" i="10"/>
  <c r="D88" i="10"/>
  <c r="D78" i="10"/>
  <c r="D77" i="10"/>
  <c r="K50" i="27"/>
  <c r="J50" i="27"/>
  <c r="F50" i="27"/>
  <c r="O55" i="27"/>
  <c r="E19" i="16"/>
  <c r="F56" i="16"/>
  <c r="H81" i="28"/>
  <c r="E83" i="27"/>
  <c r="F83" i="27"/>
  <c r="E76" i="10"/>
  <c r="E80" i="10"/>
  <c r="C83" i="27"/>
  <c r="F79" i="16"/>
  <c r="F81" i="28"/>
  <c r="E84" i="10"/>
  <c r="G83" i="27"/>
  <c r="H82" i="28"/>
  <c r="G86" i="27"/>
  <c r="D83" i="27"/>
  <c r="E88" i="10"/>
  <c r="H84" i="27"/>
  <c r="G85" i="27"/>
  <c r="F16" i="3"/>
  <c r="S83" i="27"/>
  <c r="H88" i="27"/>
  <c r="I88" i="27"/>
  <c r="I86" i="27"/>
  <c r="H86" i="27"/>
  <c r="G39" i="16"/>
  <c r="G76" i="16"/>
  <c r="N82" i="28"/>
  <c r="J88" i="27"/>
  <c r="G84" i="27"/>
  <c r="J84" i="27"/>
  <c r="E87" i="27"/>
  <c r="C87" i="27"/>
  <c r="F87" i="27"/>
  <c r="D87" i="27"/>
  <c r="K84" i="27"/>
  <c r="F62" i="16"/>
  <c r="K81" i="28"/>
  <c r="K85" i="27"/>
  <c r="C87" i="10"/>
  <c r="K22" i="27"/>
  <c r="G22" i="27"/>
  <c r="C22" i="27"/>
  <c r="J22" i="27"/>
  <c r="F22" i="27"/>
  <c r="L22" i="27"/>
  <c r="H22" i="27"/>
  <c r="H24" i="27"/>
  <c r="H26" i="27"/>
  <c r="H30" i="27"/>
  <c r="H34" i="27"/>
  <c r="H12" i="28"/>
  <c r="H17" i="28"/>
  <c r="H33" i="28"/>
  <c r="D22" i="27"/>
  <c r="M22" i="27"/>
  <c r="I22" i="27"/>
  <c r="I24" i="27"/>
  <c r="I26" i="27"/>
  <c r="I30" i="27"/>
  <c r="I34" i="27"/>
  <c r="I12" i="28"/>
  <c r="I17" i="28"/>
  <c r="I33" i="28"/>
  <c r="E22" i="27"/>
  <c r="N22" i="27"/>
  <c r="C84" i="10"/>
  <c r="C80" i="10"/>
  <c r="C79" i="10"/>
  <c r="C81" i="10"/>
  <c r="C88" i="10"/>
  <c r="C22" i="3"/>
  <c r="C25" i="3"/>
  <c r="D22" i="3"/>
  <c r="L54" i="27"/>
  <c r="H54" i="27"/>
  <c r="C54" i="27"/>
  <c r="K54" i="27"/>
  <c r="I54" i="27"/>
  <c r="D54" i="27"/>
  <c r="E54" i="27"/>
  <c r="J54" i="27"/>
  <c r="F54" i="27"/>
  <c r="G54" i="27"/>
  <c r="M54" i="27"/>
  <c r="N54" i="27"/>
  <c r="G87" i="27"/>
  <c r="K86" i="27"/>
  <c r="J86" i="27"/>
  <c r="T85" i="27"/>
  <c r="H85" i="27"/>
  <c r="J85" i="27"/>
  <c r="O76" i="27"/>
  <c r="P76" i="27"/>
  <c r="M76" i="27"/>
  <c r="H84" i="28"/>
  <c r="F90" i="16"/>
  <c r="H83" i="28"/>
  <c r="F48" i="16"/>
  <c r="L88" i="27"/>
  <c r="L86" i="27"/>
  <c r="L85" i="27"/>
  <c r="L84" i="27"/>
  <c r="F83" i="28"/>
  <c r="G83" i="28"/>
  <c r="E57" i="43"/>
  <c r="E110" i="10"/>
  <c r="G78" i="27"/>
  <c r="G80" i="27"/>
  <c r="C83" i="10"/>
  <c r="N76" i="27"/>
  <c r="G31" i="43"/>
  <c r="G23" i="10"/>
  <c r="N84" i="27"/>
  <c r="G17" i="3"/>
  <c r="G60" i="10"/>
  <c r="O88" i="27"/>
  <c r="G21" i="3"/>
  <c r="G30" i="10"/>
  <c r="N85" i="27"/>
  <c r="G18" i="3"/>
  <c r="G19" i="3"/>
  <c r="E63" i="10"/>
  <c r="E23" i="3"/>
  <c r="E28" i="17"/>
  <c r="E22" i="3"/>
  <c r="E25" i="3"/>
  <c r="F109" i="10"/>
  <c r="F105" i="10"/>
  <c r="F101" i="10"/>
  <c r="F97" i="10"/>
  <c r="C78" i="10"/>
  <c r="C86" i="10"/>
  <c r="C75" i="10"/>
  <c r="C82" i="10"/>
  <c r="C73" i="10"/>
  <c r="C85" i="10"/>
  <c r="C74" i="10"/>
  <c r="C77" i="10"/>
  <c r="F44" i="43"/>
  <c r="F56" i="43"/>
  <c r="H78" i="27"/>
  <c r="H80" i="27"/>
  <c r="F52" i="43"/>
  <c r="C63" i="10"/>
  <c r="C23" i="3"/>
  <c r="C28" i="17"/>
  <c r="D63" i="10"/>
  <c r="D23" i="3"/>
  <c r="D28" i="17"/>
  <c r="D9" i="22"/>
  <c r="D68" i="10"/>
  <c r="D11" i="22"/>
  <c r="C68" i="10"/>
  <c r="C11" i="22"/>
  <c r="C9" i="22"/>
  <c r="E68" i="10"/>
  <c r="E11" i="22"/>
  <c r="E9" i="22"/>
  <c r="F43" i="10"/>
  <c r="G15" i="10"/>
  <c r="T83" i="27"/>
  <c r="F16" i="10"/>
  <c r="L83" i="27"/>
  <c r="K78" i="27"/>
  <c r="K80" i="27"/>
  <c r="F10" i="3"/>
  <c r="F12" i="3"/>
  <c r="G47" i="16"/>
  <c r="G99" i="16"/>
  <c r="G25" i="16"/>
  <c r="J78" i="27"/>
  <c r="J80" i="27"/>
  <c r="I78" i="27"/>
  <c r="D81" i="28"/>
  <c r="G12" i="3"/>
  <c r="C80" i="27"/>
  <c r="G37" i="10"/>
  <c r="N86" i="27"/>
  <c r="E81" i="28"/>
  <c r="D84" i="28"/>
  <c r="G84" i="28"/>
  <c r="G43" i="16"/>
  <c r="G79" i="16"/>
  <c r="G95" i="16"/>
  <c r="G40" i="13"/>
  <c r="G92" i="16"/>
  <c r="D82" i="28"/>
  <c r="G82" i="28"/>
  <c r="F95" i="16"/>
  <c r="K84" i="28"/>
  <c r="G90" i="16"/>
  <c r="F76" i="16"/>
  <c r="N84" i="28"/>
  <c r="F82" i="16"/>
  <c r="M82" i="28"/>
  <c r="G56" i="16"/>
  <c r="M81" i="28"/>
  <c r="F99" i="16"/>
  <c r="K83" i="28"/>
  <c r="F93" i="16"/>
  <c r="F59" i="16"/>
  <c r="L76" i="27"/>
  <c r="J84" i="28"/>
  <c r="F12" i="16"/>
  <c r="R84" i="28"/>
  <c r="E10" i="4"/>
  <c r="E13" i="16"/>
  <c r="E9" i="5"/>
  <c r="R81" i="28"/>
  <c r="E18" i="4"/>
  <c r="E26" i="16"/>
  <c r="E11" i="5"/>
  <c r="R83" i="28"/>
  <c r="E56" i="27"/>
  <c r="E58" i="27"/>
  <c r="E62" i="27"/>
  <c r="E66" i="27"/>
  <c r="C89" i="27"/>
  <c r="C91" i="27"/>
  <c r="C95" i="27"/>
  <c r="C99" i="27"/>
  <c r="I56" i="27"/>
  <c r="I58" i="27"/>
  <c r="I62" i="27"/>
  <c r="I66" i="27"/>
  <c r="I45" i="28"/>
  <c r="I51" i="28"/>
  <c r="I67" i="28"/>
  <c r="H56" i="27"/>
  <c r="H58" i="27"/>
  <c r="H62" i="27"/>
  <c r="H66" i="27"/>
  <c r="H45" i="28"/>
  <c r="H51" i="28"/>
  <c r="H67" i="28"/>
  <c r="F56" i="27"/>
  <c r="L56" i="27"/>
  <c r="L58" i="27"/>
  <c r="L62" i="27"/>
  <c r="L66" i="27"/>
  <c r="L45" i="28"/>
  <c r="L51" i="28"/>
  <c r="L67" i="28"/>
  <c r="G56" i="27"/>
  <c r="G58" i="27"/>
  <c r="G62" i="27"/>
  <c r="G66" i="27"/>
  <c r="G45" i="28"/>
  <c r="G51" i="28"/>
  <c r="G67" i="28"/>
  <c r="D56" i="27"/>
  <c r="D58" i="27"/>
  <c r="D62" i="27"/>
  <c r="D66" i="27"/>
  <c r="O50" i="27"/>
  <c r="C56" i="27"/>
  <c r="C58" i="27"/>
  <c r="C62" i="27"/>
  <c r="C66" i="27"/>
  <c r="N56" i="27"/>
  <c r="N58" i="27"/>
  <c r="N62" i="27"/>
  <c r="N66" i="27"/>
  <c r="N45" i="28"/>
  <c r="N51" i="28"/>
  <c r="N67" i="28"/>
  <c r="J56" i="27"/>
  <c r="J58" i="27"/>
  <c r="J62" i="27"/>
  <c r="J66" i="27"/>
  <c r="J45" i="28"/>
  <c r="J51" i="28"/>
  <c r="J67" i="28"/>
  <c r="K56" i="27"/>
  <c r="K58" i="27"/>
  <c r="K62" i="27"/>
  <c r="K66" i="27"/>
  <c r="K45" i="28"/>
  <c r="K51" i="28"/>
  <c r="K67" i="28"/>
  <c r="G105" i="10"/>
  <c r="F89" i="27"/>
  <c r="F91" i="27"/>
  <c r="F95" i="27"/>
  <c r="F99" i="27"/>
  <c r="E20" i="16"/>
  <c r="R82" i="28"/>
  <c r="E10" i="5"/>
  <c r="P88" i="27"/>
  <c r="E89" i="27"/>
  <c r="E91" i="27"/>
  <c r="E95" i="27"/>
  <c r="E99" i="27"/>
  <c r="L24" i="27"/>
  <c r="L26" i="27"/>
  <c r="L30" i="27"/>
  <c r="L34" i="27"/>
  <c r="L12" i="28"/>
  <c r="L17" i="28"/>
  <c r="L33" i="28"/>
  <c r="P84" i="27"/>
  <c r="G93" i="16"/>
  <c r="N83" i="28"/>
  <c r="O78" i="27"/>
  <c r="O80" i="27"/>
  <c r="G24" i="27"/>
  <c r="G26" i="27"/>
  <c r="G30" i="27"/>
  <c r="G34" i="27"/>
  <c r="G12" i="28"/>
  <c r="G17" i="28"/>
  <c r="G33" i="28"/>
  <c r="J81" i="28"/>
  <c r="G59" i="16"/>
  <c r="N81" i="28"/>
  <c r="C24" i="27"/>
  <c r="C26" i="27"/>
  <c r="C30" i="27"/>
  <c r="C34" i="27"/>
  <c r="O84" i="27"/>
  <c r="G89" i="27"/>
  <c r="G91" i="27"/>
  <c r="D89" i="27"/>
  <c r="D91" i="27"/>
  <c r="D95" i="27"/>
  <c r="D99" i="27"/>
  <c r="I84" i="28"/>
  <c r="J82" i="28"/>
  <c r="E24" i="27"/>
  <c r="E26" i="27"/>
  <c r="E30" i="27"/>
  <c r="E34" i="27"/>
  <c r="E12" i="28"/>
  <c r="E17" i="28"/>
  <c r="E33" i="28"/>
  <c r="M84" i="27"/>
  <c r="G109" i="10"/>
  <c r="N88" i="27"/>
  <c r="K83" i="27"/>
  <c r="H83" i="27"/>
  <c r="I83" i="27"/>
  <c r="J83" i="27"/>
  <c r="F76" i="10"/>
  <c r="F80" i="10"/>
  <c r="M24" i="27"/>
  <c r="M26" i="27"/>
  <c r="M30" i="27"/>
  <c r="M34" i="27"/>
  <c r="M12" i="28"/>
  <c r="M17" i="28"/>
  <c r="M33" i="28"/>
  <c r="O85" i="27"/>
  <c r="M88" i="27"/>
  <c r="O54" i="27"/>
  <c r="M56" i="27"/>
  <c r="M58" i="27"/>
  <c r="M62" i="27"/>
  <c r="M66" i="27"/>
  <c r="M45" i="28"/>
  <c r="M51" i="28"/>
  <c r="M67" i="28"/>
  <c r="N24" i="27"/>
  <c r="N26" i="27"/>
  <c r="N30" i="27"/>
  <c r="N34" i="27"/>
  <c r="N12" i="28"/>
  <c r="N17" i="28"/>
  <c r="N33" i="28"/>
  <c r="J24" i="27"/>
  <c r="J26" i="27"/>
  <c r="J30" i="27"/>
  <c r="J34" i="27"/>
  <c r="J12" i="28"/>
  <c r="J17" i="28"/>
  <c r="J33" i="28"/>
  <c r="K24" i="27"/>
  <c r="K26" i="27"/>
  <c r="K30" i="27"/>
  <c r="K34" i="27"/>
  <c r="K12" i="28"/>
  <c r="K17" i="28"/>
  <c r="K33" i="28"/>
  <c r="F44" i="10"/>
  <c r="H87" i="27"/>
  <c r="S87" i="27"/>
  <c r="F62" i="10"/>
  <c r="F22" i="3"/>
  <c r="F25" i="3"/>
  <c r="D24" i="27"/>
  <c r="D26" i="27"/>
  <c r="D30" i="27"/>
  <c r="D34" i="27"/>
  <c r="D12" i="28"/>
  <c r="D17" i="28"/>
  <c r="D33" i="28"/>
  <c r="O22" i="27"/>
  <c r="O86" i="27"/>
  <c r="M86" i="27"/>
  <c r="P86" i="27"/>
  <c r="M85" i="27"/>
  <c r="P85" i="27"/>
  <c r="Q76" i="27"/>
  <c r="Q88" i="27"/>
  <c r="Q84" i="27"/>
  <c r="Q86" i="27"/>
  <c r="Q85" i="27"/>
  <c r="I83" i="28"/>
  <c r="N78" i="27"/>
  <c r="N80" i="27"/>
  <c r="G101" i="10"/>
  <c r="P78" i="27"/>
  <c r="P80" i="27"/>
  <c r="G56" i="43"/>
  <c r="G44" i="43"/>
  <c r="G52" i="43"/>
  <c r="M78" i="27"/>
  <c r="M80" i="27"/>
  <c r="G48" i="43"/>
  <c r="F24" i="27"/>
  <c r="F26" i="27"/>
  <c r="F30" i="27"/>
  <c r="F34" i="27"/>
  <c r="F12" i="28"/>
  <c r="F17" i="28"/>
  <c r="F33" i="28"/>
  <c r="G16" i="10"/>
  <c r="G16" i="3"/>
  <c r="G97" i="10"/>
  <c r="F20" i="3"/>
  <c r="F110" i="10"/>
  <c r="F57" i="43"/>
  <c r="D25" i="3"/>
  <c r="G43" i="10"/>
  <c r="E14" i="22"/>
  <c r="E16" i="22"/>
  <c r="C14" i="22"/>
  <c r="C16" i="22"/>
  <c r="C29" i="3"/>
  <c r="P26" i="27"/>
  <c r="D14" i="22"/>
  <c r="D16" i="22"/>
  <c r="F66" i="10"/>
  <c r="F89" i="10"/>
  <c r="F88" i="10"/>
  <c r="F84" i="10"/>
  <c r="L78" i="27"/>
  <c r="L80" i="27"/>
  <c r="I80" i="27"/>
  <c r="F13" i="3"/>
  <c r="F27" i="17"/>
  <c r="S80" i="27"/>
  <c r="F8" i="17"/>
  <c r="G82" i="16"/>
  <c r="G19" i="16"/>
  <c r="G10" i="5"/>
  <c r="G65" i="16"/>
  <c r="G12" i="16"/>
  <c r="G10" i="4"/>
  <c r="G13" i="3"/>
  <c r="G27" i="17"/>
  <c r="G8" i="17"/>
  <c r="T80" i="27"/>
  <c r="G48" i="16"/>
  <c r="O84" i="28"/>
  <c r="G81" i="28"/>
  <c r="F47" i="27"/>
  <c r="O45" i="27"/>
  <c r="G62" i="16"/>
  <c r="G96" i="16"/>
  <c r="P83" i="28"/>
  <c r="G98" i="16"/>
  <c r="O82" i="28"/>
  <c r="M84" i="28"/>
  <c r="J83" i="28"/>
  <c r="F25" i="16"/>
  <c r="F26" i="16"/>
  <c r="F11" i="5"/>
  <c r="S83" i="28"/>
  <c r="K82" i="28"/>
  <c r="M83" i="28"/>
  <c r="I82" i="28"/>
  <c r="S84" i="28"/>
  <c r="F19" i="16"/>
  <c r="F10" i="5"/>
  <c r="I81" i="28"/>
  <c r="E20" i="4"/>
  <c r="F10" i="4"/>
  <c r="F13" i="16"/>
  <c r="F9" i="5"/>
  <c r="S81" i="28"/>
  <c r="G18" i="4"/>
  <c r="L84" i="28"/>
  <c r="R91" i="27"/>
  <c r="E29" i="3"/>
  <c r="E33" i="3"/>
  <c r="D45" i="28"/>
  <c r="D51" i="28"/>
  <c r="D67" i="28"/>
  <c r="E45" i="28"/>
  <c r="E51" i="28"/>
  <c r="E67" i="28"/>
  <c r="F58" i="27"/>
  <c r="L81" i="28"/>
  <c r="O81" i="28"/>
  <c r="G89" i="10"/>
  <c r="N83" i="27"/>
  <c r="P83" i="27"/>
  <c r="M83" i="27"/>
  <c r="O83" i="27"/>
  <c r="G80" i="10"/>
  <c r="G76" i="10"/>
  <c r="Q83" i="27"/>
  <c r="O56" i="27"/>
  <c r="T87" i="27"/>
  <c r="G62" i="10"/>
  <c r="I87" i="27"/>
  <c r="I89" i="27"/>
  <c r="I91" i="27"/>
  <c r="I95" i="27"/>
  <c r="I99" i="27"/>
  <c r="J87" i="27"/>
  <c r="J89" i="27"/>
  <c r="J91" i="27"/>
  <c r="J95" i="27"/>
  <c r="J99" i="27"/>
  <c r="H89" i="27"/>
  <c r="H91" i="27"/>
  <c r="H95" i="27"/>
  <c r="H99" i="27"/>
  <c r="K87" i="27"/>
  <c r="K89" i="27"/>
  <c r="K91" i="27"/>
  <c r="K95" i="27"/>
  <c r="K99" i="27"/>
  <c r="L87" i="27"/>
  <c r="L89" i="27"/>
  <c r="L91" i="27"/>
  <c r="G110" i="10"/>
  <c r="L83" i="28"/>
  <c r="O24" i="27"/>
  <c r="O30" i="27"/>
  <c r="O34" i="27"/>
  <c r="O26" i="27"/>
  <c r="G20" i="3"/>
  <c r="G44" i="10"/>
  <c r="P82" i="28"/>
  <c r="Q82" i="28"/>
  <c r="G13" i="16"/>
  <c r="G9" i="5"/>
  <c r="T81" i="28"/>
  <c r="G57" i="43"/>
  <c r="G88" i="10"/>
  <c r="Q78" i="27"/>
  <c r="Q80" i="27"/>
  <c r="O18" i="27"/>
  <c r="F63" i="10"/>
  <c r="F23" i="3"/>
  <c r="F28" i="17"/>
  <c r="G84" i="10"/>
  <c r="C33" i="3"/>
  <c r="C34" i="3"/>
  <c r="P30" i="27"/>
  <c r="G66" i="10"/>
  <c r="F68" i="10"/>
  <c r="F9" i="22"/>
  <c r="P58" i="27"/>
  <c r="D29" i="3"/>
  <c r="P84" i="28"/>
  <c r="Q84" i="28"/>
  <c r="P81" i="28"/>
  <c r="O47" i="27"/>
  <c r="T84" i="28"/>
  <c r="F18" i="4"/>
  <c r="O83" i="28"/>
  <c r="Q83" i="28"/>
  <c r="G26" i="16"/>
  <c r="G11" i="5"/>
  <c r="T83" i="28"/>
  <c r="F20" i="16"/>
  <c r="S82" i="28"/>
  <c r="L82" i="28"/>
  <c r="G20" i="16"/>
  <c r="T82" i="28"/>
  <c r="G20" i="4"/>
  <c r="S91" i="27"/>
  <c r="F29" i="3"/>
  <c r="F33" i="3"/>
  <c r="G95" i="27"/>
  <c r="G99" i="27"/>
  <c r="R95" i="27"/>
  <c r="C109" i="27"/>
  <c r="D109" i="27"/>
  <c r="E109" i="27"/>
  <c r="F109" i="27"/>
  <c r="G109" i="27"/>
  <c r="H109" i="27"/>
  <c r="I109" i="27"/>
  <c r="J109" i="27"/>
  <c r="K109" i="27"/>
  <c r="L109" i="27"/>
  <c r="M109" i="27"/>
  <c r="N109" i="27"/>
  <c r="C110" i="27"/>
  <c r="D110" i="27"/>
  <c r="E110" i="27"/>
  <c r="F110" i="27"/>
  <c r="G110" i="27"/>
  <c r="H110" i="27"/>
  <c r="I110" i="27"/>
  <c r="J110" i="27"/>
  <c r="K110" i="27"/>
  <c r="L110" i="27"/>
  <c r="M110" i="27"/>
  <c r="N110" i="27"/>
  <c r="F79" i="28"/>
  <c r="F85" i="28"/>
  <c r="F101" i="28"/>
  <c r="E79" i="28"/>
  <c r="E85" i="28"/>
  <c r="E101" i="28"/>
  <c r="D79" i="28"/>
  <c r="D85" i="28"/>
  <c r="D101" i="28"/>
  <c r="Q81" i="28"/>
  <c r="F11" i="22"/>
  <c r="S89" i="27"/>
  <c r="O58" i="27"/>
  <c r="N87" i="27"/>
  <c r="N89" i="27"/>
  <c r="N91" i="27"/>
  <c r="N95" i="27"/>
  <c r="N99" i="27"/>
  <c r="N79" i="28"/>
  <c r="N85" i="28"/>
  <c r="N101" i="28"/>
  <c r="O87" i="27"/>
  <c r="O89" i="27"/>
  <c r="O91" i="27"/>
  <c r="O95" i="27"/>
  <c r="O99" i="27"/>
  <c r="O79" i="28"/>
  <c r="O85" i="28"/>
  <c r="O101" i="28"/>
  <c r="P87" i="27"/>
  <c r="P89" i="27"/>
  <c r="P91" i="27"/>
  <c r="P95" i="27"/>
  <c r="M87" i="27"/>
  <c r="M89" i="27"/>
  <c r="M91" i="27"/>
  <c r="M95" i="27"/>
  <c r="M99" i="27"/>
  <c r="Q87" i="27"/>
  <c r="Q89" i="27"/>
  <c r="Q91" i="27"/>
  <c r="C14" i="34"/>
  <c r="D14" i="34"/>
  <c r="F14" i="34"/>
  <c r="G63" i="10"/>
  <c r="G23" i="3"/>
  <c r="G28" i="17"/>
  <c r="G22" i="3"/>
  <c r="P34" i="27"/>
  <c r="P62" i="27"/>
  <c r="D33" i="3"/>
  <c r="D34" i="3"/>
  <c r="G9" i="22"/>
  <c r="G68" i="10"/>
  <c r="F16" i="22"/>
  <c r="F14" i="22"/>
  <c r="C9" i="17"/>
  <c r="C29" i="17"/>
  <c r="C48" i="9"/>
  <c r="C50" i="9"/>
  <c r="C52" i="9"/>
  <c r="D51" i="9"/>
  <c r="C7" i="5"/>
  <c r="C12" i="5"/>
  <c r="F62" i="27"/>
  <c r="F20" i="4"/>
  <c r="C114" i="27"/>
  <c r="D114" i="27"/>
  <c r="E114" i="27"/>
  <c r="F114" i="27"/>
  <c r="S95" i="27"/>
  <c r="L95" i="27"/>
  <c r="L99" i="27"/>
  <c r="E34" i="3"/>
  <c r="C12" i="28"/>
  <c r="C45" i="28"/>
  <c r="K79" i="28"/>
  <c r="K85" i="28"/>
  <c r="K101" i="28"/>
  <c r="J79" i="28"/>
  <c r="J85" i="28"/>
  <c r="J101" i="28"/>
  <c r="I79" i="28"/>
  <c r="I85" i="28"/>
  <c r="I101" i="28"/>
  <c r="P99" i="27"/>
  <c r="P79" i="28"/>
  <c r="P85" i="28"/>
  <c r="P101" i="28"/>
  <c r="Q95" i="27"/>
  <c r="Q99" i="27"/>
  <c r="G11" i="22"/>
  <c r="T89" i="27"/>
  <c r="P12" i="28"/>
  <c r="C15" i="17"/>
  <c r="C27" i="4"/>
  <c r="C28" i="4"/>
  <c r="C24" i="17"/>
  <c r="G16" i="22"/>
  <c r="G14" i="22"/>
  <c r="G25" i="3"/>
  <c r="G29" i="3"/>
  <c r="F66" i="27"/>
  <c r="F45" i="28"/>
  <c r="F51" i="28"/>
  <c r="F67" i="28"/>
  <c r="O62" i="27"/>
  <c r="O66" i="27"/>
  <c r="H114" i="27"/>
  <c r="I114" i="27"/>
  <c r="J114" i="27"/>
  <c r="K114" i="27"/>
  <c r="M114" i="27"/>
  <c r="N114" i="27"/>
  <c r="O114" i="27"/>
  <c r="P114" i="27"/>
  <c r="F34" i="3"/>
  <c r="O12" i="28"/>
  <c r="O17" i="28"/>
  <c r="C17" i="28"/>
  <c r="C33" i="28"/>
  <c r="D48" i="9"/>
  <c r="D50" i="9"/>
  <c r="D52" i="9"/>
  <c r="D7" i="5"/>
  <c r="D20" i="17"/>
  <c r="C15" i="34"/>
  <c r="D9" i="17"/>
  <c r="D29" i="17"/>
  <c r="P66" i="27"/>
  <c r="G14" i="34"/>
  <c r="G23" i="34"/>
  <c r="C79" i="28"/>
  <c r="C51" i="28"/>
  <c r="C28" i="5"/>
  <c r="P17" i="28"/>
  <c r="C10" i="17"/>
  <c r="C29" i="4"/>
  <c r="C33" i="17"/>
  <c r="C34" i="17"/>
  <c r="T91" i="27"/>
  <c r="G33" i="3"/>
  <c r="G34" i="3"/>
  <c r="T95" i="27"/>
  <c r="O45" i="28"/>
  <c r="O33" i="28"/>
  <c r="C36" i="28"/>
  <c r="D35" i="28"/>
  <c r="D36" i="28"/>
  <c r="E35" i="28"/>
  <c r="E36" i="28"/>
  <c r="F35" i="28"/>
  <c r="F36" i="28"/>
  <c r="G35" i="28"/>
  <c r="G36" i="28"/>
  <c r="H35" i="28"/>
  <c r="H36" i="28"/>
  <c r="I35" i="28"/>
  <c r="I36" i="28"/>
  <c r="J35" i="28"/>
  <c r="J36" i="28"/>
  <c r="K35" i="28"/>
  <c r="K36" i="28"/>
  <c r="L35" i="28"/>
  <c r="L36" i="28"/>
  <c r="M35" i="28"/>
  <c r="M36" i="28"/>
  <c r="N35" i="28"/>
  <c r="N36" i="28"/>
  <c r="C69" i="28"/>
  <c r="P33" i="28"/>
  <c r="C31" i="5"/>
  <c r="G79" i="28"/>
  <c r="C85" i="28"/>
  <c r="H14" i="34"/>
  <c r="K14" i="34"/>
  <c r="I14" i="34"/>
  <c r="D15" i="34"/>
  <c r="F15" i="34"/>
  <c r="H79" i="28"/>
  <c r="H23" i="34"/>
  <c r="K23" i="34"/>
  <c r="I23" i="34"/>
  <c r="E48" i="9"/>
  <c r="E50" i="9"/>
  <c r="E7" i="5"/>
  <c r="E9" i="17"/>
  <c r="E29" i="17"/>
  <c r="R99" i="27"/>
  <c r="E20" i="17"/>
  <c r="C16" i="34"/>
  <c r="D27" i="4"/>
  <c r="D28" i="4"/>
  <c r="E51" i="9"/>
  <c r="D15" i="17"/>
  <c r="M79" i="28"/>
  <c r="O51" i="28"/>
  <c r="C67" i="28"/>
  <c r="P45" i="28"/>
  <c r="D12" i="5"/>
  <c r="G15" i="34"/>
  <c r="G24" i="34"/>
  <c r="P51" i="28"/>
  <c r="D28" i="5"/>
  <c r="P67" i="28"/>
  <c r="D10" i="17"/>
  <c r="F7" i="5"/>
  <c r="F48" i="9"/>
  <c r="F50" i="9"/>
  <c r="S99" i="27"/>
  <c r="F9" i="17"/>
  <c r="F29" i="17"/>
  <c r="F20" i="17"/>
  <c r="C17" i="34"/>
  <c r="Q79" i="28"/>
  <c r="M85" i="28"/>
  <c r="D24" i="17"/>
  <c r="D29" i="4"/>
  <c r="D34" i="17"/>
  <c r="D33" i="17"/>
  <c r="G85" i="28"/>
  <c r="C101" i="28"/>
  <c r="R79" i="28"/>
  <c r="E12" i="5"/>
  <c r="L79" i="28"/>
  <c r="H85" i="28"/>
  <c r="G48" i="9"/>
  <c r="G50" i="9"/>
  <c r="G7" i="5"/>
  <c r="C18" i="34"/>
  <c r="B10" i="37"/>
  <c r="B21" i="37"/>
  <c r="G9" i="17"/>
  <c r="G29" i="17"/>
  <c r="T99" i="27"/>
  <c r="G20" i="17"/>
  <c r="O67" i="28"/>
  <c r="C70" i="28"/>
  <c r="D69" i="28"/>
  <c r="D70" i="28"/>
  <c r="E69" i="28"/>
  <c r="E70" i="28"/>
  <c r="F69" i="28"/>
  <c r="F70" i="28"/>
  <c r="G69" i="28"/>
  <c r="G70" i="28"/>
  <c r="H69" i="28"/>
  <c r="H70" i="28"/>
  <c r="I69" i="28"/>
  <c r="I70" i="28"/>
  <c r="J69" i="28"/>
  <c r="J70" i="28"/>
  <c r="K69" i="28"/>
  <c r="K70" i="28"/>
  <c r="L69" i="28"/>
  <c r="L70" i="28"/>
  <c r="M69" i="28"/>
  <c r="M70" i="28"/>
  <c r="N69" i="28"/>
  <c r="N70" i="28"/>
  <c r="C103" i="28"/>
  <c r="D16" i="34"/>
  <c r="D30" i="5"/>
  <c r="P36" i="28"/>
  <c r="C9" i="4"/>
  <c r="E52" i="9"/>
  <c r="D31" i="5"/>
  <c r="P69" i="28"/>
  <c r="D18" i="34"/>
  <c r="L85" i="28"/>
  <c r="H101" i="28"/>
  <c r="G101" i="28"/>
  <c r="C104" i="28"/>
  <c r="D103" i="28"/>
  <c r="D104" i="28"/>
  <c r="E103" i="28"/>
  <c r="E104" i="28"/>
  <c r="F103" i="28"/>
  <c r="F104" i="28"/>
  <c r="H103" i="28"/>
  <c r="S79" i="28"/>
  <c r="F12" i="5"/>
  <c r="C35" i="37"/>
  <c r="D35" i="37"/>
  <c r="B25" i="37"/>
  <c r="B35" i="37"/>
  <c r="D25" i="37"/>
  <c r="C25" i="37"/>
  <c r="D17" i="34"/>
  <c r="C14" i="17"/>
  <c r="C11" i="4"/>
  <c r="G25" i="34"/>
  <c r="G16" i="34"/>
  <c r="T79" i="28"/>
  <c r="G12" i="5"/>
  <c r="E28" i="5"/>
  <c r="R101" i="28"/>
  <c r="E10" i="17"/>
  <c r="R85" i="28"/>
  <c r="L15" i="34"/>
  <c r="I15" i="34"/>
  <c r="H15" i="34"/>
  <c r="E27" i="4"/>
  <c r="E28" i="4"/>
  <c r="F51" i="9"/>
  <c r="F52" i="9"/>
  <c r="E15" i="17"/>
  <c r="M101" i="28"/>
  <c r="Q85" i="28"/>
  <c r="H24" i="34"/>
  <c r="L24" i="34"/>
  <c r="I24" i="34"/>
  <c r="F16" i="34"/>
  <c r="E24" i="17"/>
  <c r="E29" i="4"/>
  <c r="E34" i="17"/>
  <c r="E33" i="17"/>
  <c r="M16" i="34"/>
  <c r="I16" i="34"/>
  <c r="H16" i="34"/>
  <c r="C36" i="37"/>
  <c r="C37" i="37"/>
  <c r="G18" i="34"/>
  <c r="G27" i="34"/>
  <c r="F27" i="4"/>
  <c r="F28" i="4"/>
  <c r="G51" i="9"/>
  <c r="G52" i="9"/>
  <c r="F15" i="17"/>
  <c r="C13" i="4"/>
  <c r="C23" i="17"/>
  <c r="D37" i="37"/>
  <c r="D36" i="37"/>
  <c r="T85" i="28"/>
  <c r="G10" i="17"/>
  <c r="G28" i="5"/>
  <c r="T101" i="28"/>
  <c r="M25" i="34"/>
  <c r="I25" i="34"/>
  <c r="H25" i="34"/>
  <c r="G17" i="34"/>
  <c r="G26" i="34"/>
  <c r="B29" i="37"/>
  <c r="B30" i="37"/>
  <c r="D29" i="37"/>
  <c r="D30" i="37"/>
  <c r="C29" i="37"/>
  <c r="C30" i="37"/>
  <c r="D9" i="4"/>
  <c r="E30" i="5"/>
  <c r="P70" i="28"/>
  <c r="Q101" i="28"/>
  <c r="B37" i="37"/>
  <c r="B36" i="37"/>
  <c r="F28" i="5"/>
  <c r="S101" i="28"/>
  <c r="S85" i="28"/>
  <c r="F10" i="17"/>
  <c r="L101" i="28"/>
  <c r="H104" i="28"/>
  <c r="I103" i="28"/>
  <c r="I104" i="28"/>
  <c r="J103" i="28"/>
  <c r="J104" i="28"/>
  <c r="K103" i="28"/>
  <c r="K104" i="28"/>
  <c r="M103" i="28"/>
  <c r="M104" i="28"/>
  <c r="N103" i="28"/>
  <c r="N104" i="28"/>
  <c r="O103" i="28"/>
  <c r="O104" i="28"/>
  <c r="P103" i="28"/>
  <c r="P104" i="28"/>
  <c r="F18" i="34"/>
  <c r="F17" i="34"/>
  <c r="D11" i="4"/>
  <c r="D14" i="17"/>
  <c r="F24" i="17"/>
  <c r="F29" i="4"/>
  <c r="F33" i="17"/>
  <c r="F34" i="17"/>
  <c r="E31" i="5"/>
  <c r="R103" i="28"/>
  <c r="G27" i="4"/>
  <c r="G28" i="4"/>
  <c r="G15" i="17"/>
  <c r="O18" i="34"/>
  <c r="I18" i="34"/>
  <c r="H18" i="34"/>
  <c r="N17" i="34"/>
  <c r="I17" i="34"/>
  <c r="H17" i="34"/>
  <c r="O27" i="34"/>
  <c r="I27" i="34"/>
  <c r="H27" i="34"/>
  <c r="N26" i="34"/>
  <c r="I26" i="34"/>
  <c r="H26" i="34"/>
  <c r="C32" i="17"/>
  <c r="G24" i="17"/>
  <c r="G29" i="4"/>
  <c r="G33" i="17"/>
  <c r="G34" i="17"/>
  <c r="D13" i="4"/>
  <c r="D23" i="17"/>
  <c r="R104" i="28"/>
  <c r="E9" i="4"/>
  <c r="F30" i="5"/>
  <c r="E11" i="4"/>
  <c r="E14" i="17"/>
  <c r="D32" i="17"/>
  <c r="F31" i="5"/>
  <c r="S103" i="28"/>
  <c r="S104" i="28"/>
  <c r="F9" i="4"/>
  <c r="G30" i="5"/>
  <c r="E13" i="4"/>
  <c r="E23" i="17"/>
  <c r="G31" i="5"/>
  <c r="T103" i="28"/>
  <c r="E32" i="17"/>
  <c r="F11" i="4"/>
  <c r="F14" i="17"/>
  <c r="F13" i="4"/>
  <c r="F23" i="17"/>
  <c r="G9" i="4"/>
  <c r="T104" i="28"/>
  <c r="G11" i="4"/>
  <c r="G14" i="17"/>
  <c r="F32" i="17"/>
  <c r="G23" i="17"/>
  <c r="G13" i="4"/>
  <c r="G32" i="17"/>
</calcChain>
</file>

<file path=xl/comments1.xml><?xml version="1.0" encoding="utf-8"?>
<comments xmlns="http://schemas.openxmlformats.org/spreadsheetml/2006/main">
  <authors>
    <author>Frank Moyes</author>
  </authors>
  <commentList>
    <comment ref="B5" authorId="0">
      <text>
        <r>
          <rPr>
            <b/>
            <sz val="10"/>
            <color indexed="81"/>
            <rFont val="Tahoma"/>
            <family val="2"/>
          </rPr>
          <t>Purchased Assets</t>
        </r>
        <r>
          <rPr>
            <sz val="10"/>
            <color indexed="81"/>
            <rFont val="Tahoma"/>
            <family val="2"/>
          </rPr>
          <t xml:space="preserve">
To be used when your venture purchases an existing business.</t>
        </r>
      </text>
    </comment>
  </commentList>
</comments>
</file>

<file path=xl/comments2.xml><?xml version="1.0" encoding="utf-8"?>
<comments xmlns="http://schemas.openxmlformats.org/spreadsheetml/2006/main">
  <authors>
    <author>Moyes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Moyes: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Inventory turns chancges each year to reflect the differnet mix of product and services</t>
        </r>
      </text>
    </comment>
  </commentList>
</comments>
</file>

<file path=xl/sharedStrings.xml><?xml version="1.0" encoding="utf-8"?>
<sst xmlns="http://schemas.openxmlformats.org/spreadsheetml/2006/main" count="1210" uniqueCount="450">
  <si>
    <t>Interest Expense</t>
  </si>
  <si>
    <t>Capital Expenditures</t>
  </si>
  <si>
    <t>Revenue</t>
  </si>
  <si>
    <t>Net Earnings</t>
  </si>
  <si>
    <t>Return on Equity</t>
  </si>
  <si>
    <t>Income Statement</t>
  </si>
  <si>
    <t xml:space="preserve">          % of Revenues</t>
  </si>
  <si>
    <t>OPERATING EXPENSES</t>
  </si>
  <si>
    <t xml:space="preserve">      Total Operating Expenses</t>
  </si>
  <si>
    <t>EARNINGS FROM OPERATIONS</t>
  </si>
  <si>
    <t>EXTRAORDINARY INCOME / (EXPENSE)</t>
  </si>
  <si>
    <t>NET EARNINGS</t>
  </si>
  <si>
    <t>Balance Sheet</t>
  </si>
  <si>
    <t>ASSETS</t>
  </si>
  <si>
    <t xml:space="preserve">   CURRENT ASSETS</t>
  </si>
  <si>
    <t xml:space="preserve">      Cash</t>
  </si>
  <si>
    <t xml:space="preserve">      Accounts Receivable</t>
  </si>
  <si>
    <t xml:space="preserve">      Total Current Assets</t>
  </si>
  <si>
    <t>LIABILITIES &amp; SHAREHOLDERS' EQUITY</t>
  </si>
  <si>
    <t xml:space="preserve">   CURRENT LIABILITIES</t>
  </si>
  <si>
    <t xml:space="preserve">      Short Term Debt</t>
  </si>
  <si>
    <t xml:space="preserve">      Accounts Payable &amp; Accrued Expen</t>
  </si>
  <si>
    <t xml:space="preserve">      Current portion of long term debt</t>
  </si>
  <si>
    <t xml:space="preserve">      Total Current Liabilities</t>
  </si>
  <si>
    <t xml:space="preserve">   STOCKHOLDERS' EQUITY</t>
  </si>
  <si>
    <t xml:space="preserve">      CommonStock</t>
  </si>
  <si>
    <t xml:space="preserve">      Preferred Stock</t>
  </si>
  <si>
    <t xml:space="preserve">      Retained Earnings</t>
  </si>
  <si>
    <t>Cash Flow Statememt</t>
  </si>
  <si>
    <t>OPERATING ACTIVITIES</t>
  </si>
  <si>
    <t xml:space="preserve">   Net Earnings</t>
  </si>
  <si>
    <t xml:space="preserve">   Working Capital Changes</t>
  </si>
  <si>
    <t>INVESTING ACTIVITIES</t>
  </si>
  <si>
    <t xml:space="preserve">   Net Cash Used in Investing Activities</t>
  </si>
  <si>
    <t>FINANCING ACTIVITIES</t>
  </si>
  <si>
    <t xml:space="preserve">   Increase/(Decrease) Short Term Debt</t>
  </si>
  <si>
    <t xml:space="preserve">   Increase/(Decrease) Curr. Portion LTD</t>
  </si>
  <si>
    <t xml:space="preserve">   Increase/(Decrease) Common Stock</t>
  </si>
  <si>
    <t xml:space="preserve">   Increase/(Decrease) Preferred Stock</t>
  </si>
  <si>
    <t xml:space="preserve">   Dividends Declared</t>
  </si>
  <si>
    <t xml:space="preserve">   Net Cash Provided / (Used) by Financing </t>
  </si>
  <si>
    <t>CASH AT END OF YEAR</t>
  </si>
  <si>
    <t>Gross Profit %</t>
  </si>
  <si>
    <t>Extraordinary Income &amp; Expense</t>
  </si>
  <si>
    <t>Funding Projections</t>
  </si>
  <si>
    <t>Operating Expenses</t>
  </si>
  <si>
    <t xml:space="preserve">      % of Revenue</t>
  </si>
  <si>
    <t>Net Revenues</t>
  </si>
  <si>
    <t>Revenue Projections</t>
  </si>
  <si>
    <t>Sales &amp; Marketing</t>
  </si>
  <si>
    <t xml:space="preserve">   Total S &amp; M Compensation</t>
  </si>
  <si>
    <t>Working Capital</t>
  </si>
  <si>
    <t xml:space="preserve">   Revenue Growth Rate - CAGR:</t>
  </si>
  <si>
    <t>Years 1 to 5</t>
  </si>
  <si>
    <t>Year 1</t>
  </si>
  <si>
    <t>Year 2</t>
  </si>
  <si>
    <t>Year 3</t>
  </si>
  <si>
    <t>Year 4</t>
  </si>
  <si>
    <t>Year 5</t>
  </si>
  <si>
    <t>Start-up expenses</t>
  </si>
  <si>
    <t>Interest Rate</t>
  </si>
  <si>
    <t xml:space="preserve">   Increase/(Decrease) Long Term Debt</t>
  </si>
  <si>
    <t>Gross Profit</t>
  </si>
  <si>
    <t>Net Income</t>
  </si>
  <si>
    <t>Operating Expenses %</t>
  </si>
  <si>
    <t>Dividends</t>
  </si>
  <si>
    <t xml:space="preserve">Cash </t>
  </si>
  <si>
    <t>Total Equity</t>
  </si>
  <si>
    <t>Total Debt</t>
  </si>
  <si>
    <t>Return on Assets</t>
  </si>
  <si>
    <t xml:space="preserve">   Net Earnings Growth Rate - CAGR:</t>
  </si>
  <si>
    <t>Net Earnings %</t>
  </si>
  <si>
    <t>Summary</t>
  </si>
  <si>
    <t xml:space="preserve">   Sales &amp; Marketing</t>
  </si>
  <si>
    <t>Income</t>
  </si>
  <si>
    <t>($)</t>
  </si>
  <si>
    <t>TOTAL LIABILITIES &amp; EQUITY</t>
  </si>
  <si>
    <t>Short Term Debt</t>
  </si>
  <si>
    <t>Long Term Debt</t>
  </si>
  <si>
    <t>Total Long Term Debt</t>
  </si>
  <si>
    <t>Common</t>
  </si>
  <si>
    <t>Preferred</t>
  </si>
  <si>
    <t>Total Interest</t>
  </si>
  <si>
    <t>Net Revenue</t>
  </si>
  <si>
    <t>CASH AT BEGINNING OF YEAR</t>
  </si>
  <si>
    <t>INCREASE/(DECREASE) IN CASH</t>
  </si>
  <si>
    <t>(Increase)/Decrease Accounts Receivable</t>
  </si>
  <si>
    <t>(Increase)/Decrease Inventories</t>
  </si>
  <si>
    <t xml:space="preserve">   Other</t>
  </si>
  <si>
    <t>Increase / (Decrease) Retained Earnings</t>
  </si>
  <si>
    <t>Beginning Retained Earnings</t>
  </si>
  <si>
    <t>Ending Retained Earnings</t>
  </si>
  <si>
    <t>Return on Capital (LT Debt + Equity)</t>
  </si>
  <si>
    <t xml:space="preserve">   Debt to Capital (LT Debt + Equity)</t>
  </si>
  <si>
    <t>INTEREST INCOME / (EXPENSE)</t>
  </si>
  <si>
    <t>Increase/(Decrease) Accts Pay &amp; Accrd Expenses</t>
  </si>
  <si>
    <t>Interest Income</t>
  </si>
  <si>
    <t>Accounts Receivable</t>
  </si>
  <si>
    <t>Inventory</t>
  </si>
  <si>
    <t>Accounts Payable &amp; Accrued Expenses</t>
  </si>
  <si>
    <t xml:space="preserve">   (Item…)</t>
  </si>
  <si>
    <t>Equity</t>
  </si>
  <si>
    <t>Debt</t>
  </si>
  <si>
    <t xml:space="preserve">   Long Term Debt</t>
  </si>
  <si>
    <t xml:space="preserve">   Short Term Debt</t>
  </si>
  <si>
    <t>Retained Earnings</t>
  </si>
  <si>
    <t>Total Operating Expenses</t>
  </si>
  <si>
    <t>Break-Even Point Revenues</t>
  </si>
  <si>
    <t>% of Revenue</t>
  </si>
  <si>
    <t>Fixed</t>
  </si>
  <si>
    <t>Variable</t>
  </si>
  <si>
    <t>Total</t>
  </si>
  <si>
    <t>Increase/(Decrease) Other Current Liab</t>
  </si>
  <si>
    <t xml:space="preserve">   Current Ratio</t>
  </si>
  <si>
    <t>Summary Financials ($)</t>
  </si>
  <si>
    <t>Growth</t>
  </si>
  <si>
    <t>Ratios</t>
  </si>
  <si>
    <t>Profitability</t>
  </si>
  <si>
    <t>Returns</t>
  </si>
  <si>
    <t>NET REVENUES</t>
  </si>
  <si>
    <t>GROSS PROFIT</t>
  </si>
  <si>
    <t>TOTAL ASSETS</t>
  </si>
  <si>
    <t>Legal</t>
  </si>
  <si>
    <r>
      <t xml:space="preserve">   </t>
    </r>
    <r>
      <rPr>
        <b/>
        <sz val="10"/>
        <rFont val="Arial"/>
        <family val="2"/>
      </rPr>
      <t>LONG TERM DEBT</t>
    </r>
    <r>
      <rPr>
        <sz val="10"/>
        <rFont val="Arial"/>
        <family val="2"/>
      </rPr>
      <t xml:space="preserve"> (less current portion)</t>
    </r>
  </si>
  <si>
    <t>Begin</t>
  </si>
  <si>
    <t>Total Benefits</t>
  </si>
  <si>
    <t>Year 1 by Months</t>
  </si>
  <si>
    <t>Estimated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</si>
  <si>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</si>
  <si>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</si>
  <si>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</si>
  <si>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</si>
  <si>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</si>
  <si>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</si>
  <si>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</si>
  <si>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</si>
  <si>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</si>
  <si>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</si>
  <si>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</si>
  <si>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</si>
  <si>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 xml:space="preserve">Total </t>
  </si>
  <si>
    <t>Total 1st Quarter</t>
  </si>
  <si>
    <t>Total 2nd Quarter</t>
  </si>
  <si>
    <t>Total 3rd Quarter</t>
  </si>
  <si>
    <t>Total 4th Quarter</t>
  </si>
  <si>
    <t>Total for year</t>
  </si>
  <si>
    <t>Revenues by Months &amp; Quarters</t>
  </si>
  <si>
    <t>Cost of Revenue</t>
  </si>
  <si>
    <t>Total benefit costs</t>
  </si>
  <si>
    <t>Number of employees</t>
  </si>
  <si>
    <t>Total wages</t>
  </si>
  <si>
    <t>Total Compensation</t>
  </si>
  <si>
    <t>Average wages per employee</t>
  </si>
  <si>
    <t>Hourly Personnel</t>
  </si>
  <si>
    <t>Total Wage Costs</t>
  </si>
  <si>
    <t>Total Salary Costs</t>
  </si>
  <si>
    <t>Total Cost of Revenues</t>
  </si>
  <si>
    <t>Salaries and Benefits</t>
  </si>
  <si>
    <t>Property and Equipment</t>
  </si>
  <si>
    <t>PROPERTY &amp; EQUIPMENT</t>
  </si>
  <si>
    <t xml:space="preserve">   Property &amp; Equipment</t>
  </si>
  <si>
    <t xml:space="preserve">       % of Revenue</t>
  </si>
  <si>
    <t>Total Extraordinary Income/(Expense)</t>
  </si>
  <si>
    <t>COST OF REVENUE</t>
  </si>
  <si>
    <t xml:space="preserve">   Net Cash Provided/(Used) by Operating Activities</t>
  </si>
  <si>
    <t>Capital Expenditures by Months &amp; Quarters</t>
  </si>
  <si>
    <t>Inventory by Months &amp; Quarters</t>
  </si>
  <si>
    <t>Accounts Payble &amp; Accrued Expenses by Months &amp; Quarters</t>
  </si>
  <si>
    <t xml:space="preserve">Interest </t>
  </si>
  <si>
    <t>Increase / (Decrease) Previous Period</t>
  </si>
  <si>
    <t>Current Portion</t>
  </si>
  <si>
    <t>Long Term Protion</t>
  </si>
  <si>
    <t>Current  Portion</t>
  </si>
  <si>
    <t>Long Term Portion</t>
  </si>
  <si>
    <t>Annual</t>
  </si>
  <si>
    <t>Income Statements</t>
  </si>
  <si>
    <t>5 Years by Months &amp; Quarters</t>
  </si>
  <si>
    <t>Year 2 by Months</t>
  </si>
  <si>
    <t>1st Qtr</t>
  </si>
  <si>
    <t>Months</t>
  </si>
  <si>
    <t>2nd Qrtr</t>
  </si>
  <si>
    <t>3rd Qrtr</t>
  </si>
  <si>
    <t>4th Qrtr</t>
  </si>
  <si>
    <t>2nd Qtr</t>
  </si>
  <si>
    <t>3rd Qtr</t>
  </si>
  <si>
    <t>4th Qtr</t>
  </si>
  <si>
    <t>12 Months</t>
  </si>
  <si>
    <t>Projection</t>
  </si>
  <si>
    <t>Years 3, 4 &amp; 5 by Quarters</t>
  </si>
  <si>
    <t>Interest Income/(Expense)</t>
  </si>
  <si>
    <t>Total Year</t>
  </si>
  <si>
    <t>Per Month/Qtr</t>
  </si>
  <si>
    <t>Cash Flow Statement</t>
  </si>
  <si>
    <t>Accounts Receivable by Months &amp; Quarters</t>
  </si>
  <si>
    <t>Days</t>
  </si>
  <si>
    <t>AP &amp; Accrued Value</t>
  </si>
  <si>
    <t>Days Outstanding</t>
  </si>
  <si>
    <t xml:space="preserve">Accounts Receivable </t>
  </si>
  <si>
    <t>Inventory Days</t>
  </si>
  <si>
    <t xml:space="preserve">Inventory </t>
  </si>
  <si>
    <t>(Increase)/Decrease from Prev. Period</t>
  </si>
  <si>
    <t>Increase/(Decrease) from Prev. Period</t>
  </si>
  <si>
    <t>Quarter 1</t>
  </si>
  <si>
    <t>Quarter 2</t>
  </si>
  <si>
    <t>Quarter 3</t>
  </si>
  <si>
    <t>Quarter 4</t>
  </si>
  <si>
    <t>Do Not Delete</t>
  </si>
  <si>
    <t>Extraordinary Income and Expense by Months &amp; Quarters</t>
  </si>
  <si>
    <t>All other costs % of Revenue</t>
  </si>
  <si>
    <t>Commissions % of Revenue</t>
  </si>
  <si>
    <t>Beginning Cash</t>
  </si>
  <si>
    <t>Total Equity &amp; Debt</t>
  </si>
  <si>
    <t>A Round</t>
  </si>
  <si>
    <t>B Round</t>
  </si>
  <si>
    <t>Total Preferred</t>
  </si>
  <si>
    <t>Assumptions</t>
  </si>
  <si>
    <t>Ref</t>
  </si>
  <si>
    <t>Calculation</t>
  </si>
  <si>
    <t>Month of IPO</t>
  </si>
  <si>
    <t>A</t>
  </si>
  <si>
    <t>Forecast annualized earnings at IPO</t>
  </si>
  <si>
    <t>B</t>
  </si>
  <si>
    <t>P/E ratio at IPO</t>
  </si>
  <si>
    <t>C</t>
  </si>
  <si>
    <t>Investment Round</t>
  </si>
  <si>
    <t>First</t>
  </si>
  <si>
    <t>Second</t>
  </si>
  <si>
    <t xml:space="preserve">Third </t>
  </si>
  <si>
    <t>Month of Investment</t>
  </si>
  <si>
    <t>Investor required IRR</t>
  </si>
  <si>
    <t>D</t>
  </si>
  <si>
    <t>Amount of Investment</t>
  </si>
  <si>
    <t>E</t>
  </si>
  <si>
    <t>Required Monthly IRR</t>
  </si>
  <si>
    <t>F</t>
  </si>
  <si>
    <t>D/12</t>
  </si>
  <si>
    <t>Duration of Investment</t>
  </si>
  <si>
    <t>G</t>
  </si>
  <si>
    <t>A-C</t>
  </si>
  <si>
    <t>Calculations</t>
  </si>
  <si>
    <t>Market Capitalization at IPO</t>
  </si>
  <si>
    <t>H</t>
  </si>
  <si>
    <t>B*C</t>
  </si>
  <si>
    <t>Required FV for Investor at IPO</t>
  </si>
  <si>
    <t>I</t>
  </si>
  <si>
    <t>E*(1+F)^G</t>
  </si>
  <si>
    <t>Individual Investor's Share</t>
  </si>
  <si>
    <t>J</t>
  </si>
  <si>
    <t>I/H</t>
  </si>
  <si>
    <t>Individual Investor's ROI</t>
  </si>
  <si>
    <t>K</t>
  </si>
  <si>
    <t>I/E</t>
  </si>
  <si>
    <t>Individual Investor's IRR</t>
  </si>
  <si>
    <t>L</t>
  </si>
  <si>
    <t>(I/E)^(12/G)-1</t>
  </si>
  <si>
    <t>M</t>
  </si>
  <si>
    <t>sum(J)</t>
  </si>
  <si>
    <t>N</t>
  </si>
  <si>
    <t>1-M</t>
  </si>
  <si>
    <t>FV for Investor at IPO</t>
  </si>
  <si>
    <t xml:space="preserve">Valuation  </t>
  </si>
  <si>
    <t>Venture Capital Method</t>
  </si>
  <si>
    <t>Multiple Rounds</t>
  </si>
  <si>
    <t>Assumptions:</t>
  </si>
  <si>
    <t>P/E ratio at IPO or acquisition</t>
  </si>
  <si>
    <t>Initial investment</t>
  </si>
  <si>
    <t xml:space="preserve">I </t>
  </si>
  <si>
    <t>Year</t>
  </si>
  <si>
    <t xml:space="preserve">Market
Capitalization </t>
  </si>
  <si>
    <t>Required Future Value (Investor)</t>
  </si>
  <si>
    <t>Investor's
Share</t>
  </si>
  <si>
    <t>Investor's
Return</t>
  </si>
  <si>
    <t>Investor's
ROI</t>
  </si>
  <si>
    <t>Investor's
IRR</t>
  </si>
  <si>
    <t>B * E</t>
  </si>
  <si>
    <t>FV(F,D)</t>
  </si>
  <si>
    <t>C / G</t>
  </si>
  <si>
    <t>F * H</t>
  </si>
  <si>
    <t>I / C</t>
  </si>
  <si>
    <t>IRR(I,C,D)</t>
  </si>
  <si>
    <t>Start</t>
  </si>
  <si>
    <t>FV(A,C)</t>
  </si>
  <si>
    <t>G/F</t>
  </si>
  <si>
    <t>IRR(D,G)</t>
  </si>
  <si>
    <t>Negotiations Round</t>
  </si>
  <si>
    <t>Cumulative Investors' Share</t>
  </si>
  <si>
    <t>Cumulative Founders' Share</t>
  </si>
  <si>
    <t>Liquidity Event in Year 1</t>
  </si>
  <si>
    <t>Liquidity Event in Year 2</t>
  </si>
  <si>
    <t>Liquidity Event in Year 3</t>
  </si>
  <si>
    <t>Liquidity Event in Year 4</t>
  </si>
  <si>
    <t>Liquidity Event in Year 5</t>
  </si>
  <si>
    <t>Valuation Calculation</t>
  </si>
  <si>
    <t>IRR Calculation Workspace</t>
  </si>
  <si>
    <t>Income Stmt</t>
  </si>
  <si>
    <t>REF</t>
  </si>
  <si>
    <t>Negotiation Workspace</t>
  </si>
  <si>
    <t xml:space="preserve">Average Revenue </t>
  </si>
  <si>
    <t>by Month</t>
  </si>
  <si>
    <t>by Quarter</t>
  </si>
  <si>
    <t>Allocation of Cost of Revenue between:</t>
  </si>
  <si>
    <t>All other expenses % of Revenue</t>
  </si>
  <si>
    <t>Assets</t>
  </si>
  <si>
    <t>Purchased</t>
  </si>
  <si>
    <t>Year 0</t>
  </si>
  <si>
    <t>Allocation of Operating Expenses between:</t>
  </si>
  <si>
    <t>Variable Costs/Revenue Ratio</t>
  </si>
  <si>
    <t>CASH AT END OF PERIOD</t>
  </si>
  <si>
    <t>CASH AT BEGINNING OF PERIOD</t>
  </si>
  <si>
    <t>Calculation Area</t>
  </si>
  <si>
    <t>Tax Loss Carry Forward</t>
  </si>
  <si>
    <t>(other…)</t>
  </si>
  <si>
    <t>Total Salary</t>
  </si>
  <si>
    <t>Benefits</t>
  </si>
  <si>
    <t>Percent (%)</t>
  </si>
  <si>
    <t>(other...)</t>
  </si>
  <si>
    <t>Number of Units</t>
  </si>
  <si>
    <t>Price per unit</t>
  </si>
  <si>
    <t>Total Direct Costs per Unit</t>
  </si>
  <si>
    <t>Unit Sales</t>
  </si>
  <si>
    <t xml:space="preserve">Total Direct Costs </t>
  </si>
  <si>
    <t>Break-Even Analysis</t>
  </si>
  <si>
    <t xml:space="preserve">   </t>
  </si>
  <si>
    <t>Inventory Turns</t>
  </si>
  <si>
    <t>Aquaponics</t>
  </si>
  <si>
    <t>Stocking density</t>
  </si>
  <si>
    <t>kg</t>
  </si>
  <si>
    <t>Growing Area</t>
  </si>
  <si>
    <t>sq.m</t>
  </si>
  <si>
    <t>Total Area</t>
  </si>
  <si>
    <t>% usage</t>
  </si>
  <si>
    <t>Fish Harvest Mass</t>
  </si>
  <si>
    <t>Fish Tank Volume</t>
  </si>
  <si>
    <t>tanks</t>
  </si>
  <si>
    <t>5000 L. Ea</t>
  </si>
  <si>
    <t>Fish</t>
  </si>
  <si>
    <t>System Volume</t>
  </si>
  <si>
    <t>Media Bed Area</t>
  </si>
  <si>
    <t>DWC Area</t>
  </si>
  <si>
    <t>DWC</t>
  </si>
  <si>
    <t>plants/sq.m</t>
  </si>
  <si>
    <t>Lettuce</t>
  </si>
  <si>
    <t>Mediabed</t>
  </si>
  <si>
    <t>Tomato</t>
  </si>
  <si>
    <t>DWC Plants</t>
  </si>
  <si>
    <t>plants</t>
  </si>
  <si>
    <t>Productivity</t>
  </si>
  <si>
    <t>heads/month</t>
  </si>
  <si>
    <t>heads/yr</t>
  </si>
  <si>
    <t>Mediabed Plants</t>
  </si>
  <si>
    <t>kg/year</t>
  </si>
  <si>
    <t>Equipment</t>
  </si>
  <si>
    <t>Greenhouse</t>
  </si>
  <si>
    <t>Land</t>
  </si>
  <si>
    <t>Portable Cabins</t>
  </si>
  <si>
    <t>FRP Tanks</t>
  </si>
  <si>
    <t>Aeration</t>
  </si>
  <si>
    <t>Fish Feed</t>
  </si>
  <si>
    <t>FISH</t>
  </si>
  <si>
    <t>SYSTEM SPECIFICATIONS</t>
  </si>
  <si>
    <t>Production Estimation</t>
  </si>
  <si>
    <t>PLANTING DENSITY</t>
  </si>
  <si>
    <t>Produce: Greens</t>
  </si>
  <si>
    <t>Produce: Vegetables</t>
  </si>
  <si>
    <t>Produce: Fish</t>
  </si>
  <si>
    <t>Quantity</t>
  </si>
  <si>
    <t>kg/yr</t>
  </si>
  <si>
    <t>Population Max</t>
  </si>
  <si>
    <t>$</t>
  </si>
  <si>
    <t>Personnel Expense</t>
  </si>
  <si>
    <t>Marketing Campaign</t>
  </si>
  <si>
    <t>Utilities &amp; Supplies</t>
  </si>
  <si>
    <t>Water</t>
  </si>
  <si>
    <t>Fish Fingerlings</t>
  </si>
  <si>
    <t>Total Utilities &amp; Supplies</t>
  </si>
  <si>
    <t>Water Treatment &amp; Testing</t>
  </si>
  <si>
    <t>Electricity</t>
  </si>
  <si>
    <t>Tools and Supplies</t>
  </si>
  <si>
    <t>Pumps</t>
  </si>
  <si>
    <t>Fish Feed Qty</t>
  </si>
  <si>
    <t>Mineral Supplements</t>
  </si>
  <si>
    <t>$/kg</t>
  </si>
  <si>
    <t>Fish Harvest Weight</t>
  </si>
  <si>
    <t>Governmental</t>
  </si>
  <si>
    <t>Price per kg</t>
  </si>
  <si>
    <t>ea</t>
  </si>
  <si>
    <t>Greens</t>
  </si>
  <si>
    <t>Vegetables</t>
  </si>
  <si>
    <t>Fingerling Price</t>
  </si>
  <si>
    <t>Shipping &amp; Handling</t>
  </si>
  <si>
    <t>Processing Cost</t>
  </si>
  <si>
    <t>Fingerling Costs per Unit</t>
  </si>
  <si>
    <t>Seed Costs per Unit</t>
  </si>
  <si>
    <t>Seed costs per Unit</t>
  </si>
  <si>
    <t>AQUAPONICS FARMING</t>
  </si>
  <si>
    <t>Tourism</t>
  </si>
  <si>
    <t>Education</t>
  </si>
  <si>
    <t>Gross Asset Value</t>
  </si>
  <si>
    <t>Land Rent</t>
  </si>
  <si>
    <t>Cumulative Net Earning</t>
  </si>
  <si>
    <t>EARNINGS BEFORE INTEREST</t>
  </si>
  <si>
    <t>Transport Vehicles</t>
  </si>
  <si>
    <t>Food Processing Equipment</t>
  </si>
  <si>
    <t>SCM</t>
  </si>
  <si>
    <t>CRM</t>
  </si>
  <si>
    <t>Support</t>
  </si>
  <si>
    <t>Customer Support</t>
  </si>
  <si>
    <t>Administration</t>
  </si>
  <si>
    <t>Operations &amp; Research</t>
  </si>
  <si>
    <t>Executive Secretary</t>
  </si>
  <si>
    <t>Market Analyst</t>
  </si>
  <si>
    <t>Quality Inspector</t>
  </si>
  <si>
    <t>Plant Maintenance</t>
  </si>
  <si>
    <t>Total O&amp;R Compensation</t>
  </si>
  <si>
    <t>Total Admin Compensation</t>
  </si>
  <si>
    <t>Finance</t>
  </si>
  <si>
    <t>Materials and Logistics Analyst</t>
  </si>
  <si>
    <t>Chief Accountant</t>
  </si>
  <si>
    <t>Payroll</t>
  </si>
  <si>
    <t>Financial Analyst</t>
  </si>
  <si>
    <t>Marine Biologist</t>
  </si>
  <si>
    <t>Crop Biologist</t>
  </si>
  <si>
    <t>Production Planning Analyst</t>
  </si>
  <si>
    <t>Total Wages</t>
  </si>
  <si>
    <t>Total Wages Compensation</t>
  </si>
  <si>
    <t>Hourly Wages</t>
  </si>
  <si>
    <t>(other)</t>
  </si>
  <si>
    <t>Total Hourly Wage Cost</t>
  </si>
  <si>
    <t>Personnel Expenses by Months &amp; Quarters</t>
  </si>
  <si>
    <t>Seeds &amp; Seedlings</t>
  </si>
  <si>
    <t>GM</t>
  </si>
  <si>
    <t>Utilities &amp; Supplies Expenses by Months &amp; Quarters</t>
  </si>
  <si>
    <t>Wages</t>
  </si>
  <si>
    <t>Utilities and Supplies</t>
  </si>
  <si>
    <t>Transportation</t>
  </si>
  <si>
    <t>Lease</t>
  </si>
  <si>
    <t>Revenue Stream by Months &amp; Quarters</t>
  </si>
  <si>
    <t>Total Finance</t>
  </si>
  <si>
    <t>Total Administration</t>
  </si>
  <si>
    <t>Total O&amp;R</t>
  </si>
  <si>
    <t>Total S&amp;M</t>
  </si>
  <si>
    <t>Supervisor HR</t>
  </si>
  <si>
    <t>Supervisor Finance</t>
  </si>
  <si>
    <t>Supervisor OPR</t>
  </si>
  <si>
    <t>Supervisor S&amp;M</t>
  </si>
  <si>
    <t>Climate Control</t>
  </si>
  <si>
    <t>Net Profit Statement</t>
  </si>
  <si>
    <t>Net Cash</t>
  </si>
  <si>
    <t>Increase/(Decrease) Inventory</t>
  </si>
  <si>
    <t>kg/mo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</si>
</sst>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0.0%"/>
    <numFmt numFmtId="165" formatCode="0.0"/>
    <numFmt numFmtId="166" formatCode="0.0000"/>
    <numFmt numFmtId="167" formatCode="_(* #,##0_);_(* \(#,##0\);_(* &quot;-&quot;??_);_(@_)"/>
    <numFmt numFmtId="168" formatCode="0.00_);\(0.00\)"/>
  </numFmts>
  <fonts count="40" x14ac:knownFonts="1">
    <font>
      <sz val="10"/>
      <name val="Geneva"/>
    </font>
    <font>
      <b/>
      <sz val="10"/>
      <name val="Geneva"/>
    </font>
    <font>
      <sz val="10"/>
      <name val="Geneva"/>
    </font>
    <font>
      <sz val="10"/>
      <name val="MS Sans Serif"/>
      <family val="2"/>
    </font>
    <font>
      <sz val="12"/>
      <name val="MS Sans Serif"/>
      <family val="2"/>
    </font>
    <font>
      <sz val="12"/>
      <name val="Arial"/>
      <family val="2"/>
    </font>
    <font>
      <sz val="10"/>
      <name val="Arial"/>
      <family val="2"/>
    </font>
    <font>
      <u/>
      <sz val="12"/>
      <name val="Arial"/>
      <family val="2"/>
    </font>
    <font>
      <sz val="10"/>
      <name val="Arial"/>
      <family val="2"/>
    </font>
    <font>
      <sz val="12"/>
      <name val="Geneva"/>
    </font>
    <font>
      <u/>
      <sz val="12"/>
      <name val="Arial"/>
      <family val="2"/>
    </font>
    <font>
      <b/>
      <sz val="10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12"/>
      <name val="Geneva"/>
    </font>
    <font>
      <sz val="12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sz val="10"/>
      <color indexed="17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8"/>
      <name val="Arial"/>
      <family val="2"/>
    </font>
    <font>
      <sz val="18"/>
      <name val="MS Sans Serif"/>
      <family val="2"/>
    </font>
    <font>
      <b/>
      <sz val="16"/>
      <name val="Arial"/>
      <family val="2"/>
    </font>
    <font>
      <sz val="16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name val="MS Sans Serif"/>
      <family val="2"/>
    </font>
    <font>
      <sz val="10"/>
      <name val="MS Sans Serif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Geneva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3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0"/>
      <name val="MS Sans Serif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5">
    <xf numFmtId="0" fontId="0" fillId="0" borderId="0"/>
    <xf numFmtId="40" fontId="2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</cellStyleXfs>
  <cellXfs count="602">
    <xf numFmtId="0" fontId="0" fillId="0" borderId="0" xfId="0"/>
    <xf numFmtId="0" fontId="6" fillId="0" borderId="0" xfId="8" applyFont="1"/>
    <xf numFmtId="0" fontId="3" fillId="0" borderId="0" xfId="8"/>
    <xf numFmtId="0" fontId="6" fillId="0" borderId="0" xfId="3" applyFont="1"/>
    <xf numFmtId="0" fontId="16" fillId="0" borderId="0" xfId="3"/>
    <xf numFmtId="37" fontId="6" fillId="0" borderId="0" xfId="3" applyNumberFormat="1" applyFont="1"/>
    <xf numFmtId="37" fontId="16" fillId="0" borderId="0" xfId="3" applyNumberFormat="1"/>
    <xf numFmtId="0" fontId="6" fillId="0" borderId="0" xfId="4" applyFont="1"/>
    <xf numFmtId="0" fontId="3" fillId="0" borderId="0" xfId="4"/>
    <xf numFmtId="0" fontId="6" fillId="0" borderId="0" xfId="5" applyFont="1"/>
    <xf numFmtId="0" fontId="3" fillId="0" borderId="0" xfId="5"/>
    <xf numFmtId="0" fontId="6" fillId="0" borderId="0" xfId="7" applyFont="1"/>
    <xf numFmtId="0" fontId="3" fillId="0" borderId="0" xfId="7"/>
    <xf numFmtId="37" fontId="6" fillId="0" borderId="0" xfId="7" applyNumberFormat="1" applyFont="1"/>
    <xf numFmtId="0" fontId="7" fillId="0" borderId="0" xfId="7" applyFont="1"/>
    <xf numFmtId="0" fontId="3" fillId="0" borderId="0" xfId="7" applyFont="1"/>
    <xf numFmtId="0" fontId="6" fillId="0" borderId="0" xfId="7" applyFont="1" applyAlignment="1"/>
    <xf numFmtId="0" fontId="6" fillId="0" borderId="0" xfId="9" applyFont="1"/>
    <xf numFmtId="0" fontId="6" fillId="0" borderId="0" xfId="10" applyFont="1"/>
    <xf numFmtId="0" fontId="3" fillId="0" borderId="0" xfId="10"/>
    <xf numFmtId="37" fontId="6" fillId="0" borderId="0" xfId="10" applyNumberFormat="1" applyFont="1"/>
    <xf numFmtId="37" fontId="3" fillId="0" borderId="0" xfId="10" applyNumberFormat="1"/>
    <xf numFmtId="0" fontId="6" fillId="0" borderId="0" xfId="11" applyFont="1"/>
    <xf numFmtId="0" fontId="6" fillId="0" borderId="0" xfId="12" applyFont="1"/>
    <xf numFmtId="37" fontId="0" fillId="0" borderId="0" xfId="0" applyNumberFormat="1"/>
    <xf numFmtId="0" fontId="3" fillId="0" borderId="0" xfId="5" applyFont="1"/>
    <xf numFmtId="37" fontId="8" fillId="0" borderId="0" xfId="8" applyNumberFormat="1" applyFont="1" applyBorder="1"/>
    <xf numFmtId="0" fontId="3" fillId="0" borderId="0" xfId="10" applyFont="1"/>
    <xf numFmtId="0" fontId="0" fillId="0" borderId="0" xfId="0" applyAlignment="1">
      <alignment horizontal="left" indent="1"/>
    </xf>
    <xf numFmtId="0" fontId="3" fillId="0" borderId="0" xfId="7" applyFont="1" applyAlignment="1">
      <alignment horizontal="left" indent="2"/>
    </xf>
    <xf numFmtId="0" fontId="8" fillId="0" borderId="0" xfId="0" applyFont="1"/>
    <xf numFmtId="0" fontId="8" fillId="0" borderId="0" xfId="7" applyFont="1"/>
    <xf numFmtId="0" fontId="8" fillId="0" borderId="0" xfId="4" applyFont="1"/>
    <xf numFmtId="0" fontId="8" fillId="0" borderId="0" xfId="13" applyFont="1"/>
    <xf numFmtId="0" fontId="8" fillId="0" borderId="0" xfId="10" applyFont="1"/>
    <xf numFmtId="0" fontId="8" fillId="0" borderId="0" xfId="3" applyFont="1"/>
    <xf numFmtId="0" fontId="8" fillId="0" borderId="0" xfId="11" applyFont="1"/>
    <xf numFmtId="0" fontId="8" fillId="0" borderId="0" xfId="8" applyFont="1"/>
    <xf numFmtId="37" fontId="8" fillId="0" borderId="0" xfId="13" applyNumberFormat="1" applyFont="1" applyFill="1"/>
    <xf numFmtId="37" fontId="3" fillId="0" borderId="0" xfId="7" applyNumberFormat="1"/>
    <xf numFmtId="0" fontId="0" fillId="0" borderId="0" xfId="0" applyFill="1"/>
    <xf numFmtId="37" fontId="6" fillId="2" borderId="0" xfId="4" applyNumberFormat="1" applyFont="1" applyFill="1"/>
    <xf numFmtId="0" fontId="11" fillId="0" borderId="0" xfId="8" applyFont="1"/>
    <xf numFmtId="0" fontId="12" fillId="0" borderId="0" xfId="9" applyFont="1" applyAlignment="1">
      <alignment horizontal="right"/>
    </xf>
    <xf numFmtId="0" fontId="11" fillId="0" borderId="0" xfId="9" applyFont="1"/>
    <xf numFmtId="0" fontId="12" fillId="0" borderId="0" xfId="5" applyFont="1" applyAlignment="1">
      <alignment horizontal="right"/>
    </xf>
    <xf numFmtId="0" fontId="13" fillId="0" borderId="0" xfId="5" applyFont="1" applyAlignment="1">
      <alignment horizontal="right"/>
    </xf>
    <xf numFmtId="0" fontId="12" fillId="0" borderId="0" xfId="11" applyFont="1" applyAlignment="1">
      <alignment horizontal="right"/>
    </xf>
    <xf numFmtId="0" fontId="12" fillId="0" borderId="0" xfId="6" applyFont="1" applyAlignment="1">
      <alignment horizontal="right"/>
    </xf>
    <xf numFmtId="0" fontId="12" fillId="0" borderId="0" xfId="13" applyFont="1" applyAlignment="1">
      <alignment horizontal="center"/>
    </xf>
    <xf numFmtId="0" fontId="11" fillId="0" borderId="0" xfId="13" applyFont="1" applyAlignment="1">
      <alignment horizontal="left"/>
    </xf>
    <xf numFmtId="0" fontId="11" fillId="0" borderId="0" xfId="13" applyFont="1"/>
    <xf numFmtId="0" fontId="12" fillId="0" borderId="0" xfId="10" applyFont="1" applyAlignment="1">
      <alignment horizontal="right"/>
    </xf>
    <xf numFmtId="0" fontId="11" fillId="0" borderId="0" xfId="10" applyFont="1"/>
    <xf numFmtId="0" fontId="12" fillId="0" borderId="0" xfId="12" applyFont="1" applyAlignment="1">
      <alignment horizontal="right"/>
    </xf>
    <xf numFmtId="0" fontId="11" fillId="0" borderId="0" xfId="12" applyFont="1"/>
    <xf numFmtId="0" fontId="14" fillId="0" borderId="0" xfId="12" applyFont="1"/>
    <xf numFmtId="0" fontId="12" fillId="0" borderId="0" xfId="4" applyFont="1" applyAlignment="1">
      <alignment horizontal="right"/>
    </xf>
    <xf numFmtId="0" fontId="1" fillId="0" borderId="0" xfId="0" applyFont="1"/>
    <xf numFmtId="0" fontId="9" fillId="0" borderId="0" xfId="0" applyFont="1"/>
    <xf numFmtId="0" fontId="13" fillId="0" borderId="0" xfId="10" applyFont="1" applyAlignment="1">
      <alignment horizontal="right"/>
    </xf>
    <xf numFmtId="0" fontId="13" fillId="0" borderId="0" xfId="12" applyFont="1" applyAlignment="1">
      <alignment horizontal="right"/>
    </xf>
    <xf numFmtId="40" fontId="0" fillId="0" borderId="0" xfId="0" applyNumberFormat="1" applyFill="1" applyBorder="1"/>
    <xf numFmtId="37" fontId="6" fillId="3" borderId="0" xfId="4" applyNumberFormat="1" applyFont="1" applyFill="1"/>
    <xf numFmtId="37" fontId="0" fillId="3" borderId="0" xfId="0" applyNumberFormat="1" applyFill="1"/>
    <xf numFmtId="0" fontId="8" fillId="0" borderId="0" xfId="9" applyFont="1" applyAlignment="1">
      <alignment horizontal="left" indent="1"/>
    </xf>
    <xf numFmtId="37" fontId="8" fillId="2" borderId="0" xfId="9" applyNumberFormat="1" applyFont="1" applyFill="1"/>
    <xf numFmtId="164" fontId="8" fillId="3" borderId="0" xfId="14" applyNumberFormat="1" applyFont="1" applyFill="1"/>
    <xf numFmtId="164" fontId="8" fillId="0" borderId="0" xfId="14" applyNumberFormat="1" applyFont="1" applyFill="1"/>
    <xf numFmtId="0" fontId="11" fillId="0" borderId="0" xfId="5" applyFont="1"/>
    <xf numFmtId="3" fontId="8" fillId="0" borderId="0" xfId="5" applyNumberFormat="1" applyFont="1"/>
    <xf numFmtId="3" fontId="8" fillId="0" borderId="0" xfId="5" applyNumberFormat="1" applyFont="1" applyFill="1"/>
    <xf numFmtId="0" fontId="11" fillId="0" borderId="0" xfId="11" applyFont="1"/>
    <xf numFmtId="0" fontId="8" fillId="0" borderId="0" xfId="0" applyFont="1" applyFill="1"/>
    <xf numFmtId="0" fontId="8" fillId="0" borderId="0" xfId="0" applyFont="1" applyAlignment="1">
      <alignment horizontal="left" indent="1"/>
    </xf>
    <xf numFmtId="0" fontId="11" fillId="0" borderId="0" xfId="0" applyFont="1"/>
    <xf numFmtId="38" fontId="8" fillId="3" borderId="0" xfId="1" applyNumberFormat="1" applyFont="1" applyFill="1"/>
    <xf numFmtId="37" fontId="8" fillId="2" borderId="0" xfId="0" applyNumberFormat="1" applyFont="1" applyFill="1"/>
    <xf numFmtId="37" fontId="8" fillId="3" borderId="0" xfId="0" applyNumberFormat="1" applyFont="1" applyFill="1"/>
    <xf numFmtId="0" fontId="8" fillId="0" borderId="0" xfId="0" applyFont="1" applyAlignment="1">
      <alignment horizontal="left" indent="2"/>
    </xf>
    <xf numFmtId="37" fontId="8" fillId="0" borderId="0" xfId="0" applyNumberFormat="1" applyFont="1" applyFill="1"/>
    <xf numFmtId="0" fontId="10" fillId="0" borderId="0" xfId="8" quotePrefix="1" applyFont="1" applyAlignment="1">
      <alignment horizontal="right"/>
    </xf>
    <xf numFmtId="0" fontId="10" fillId="0" borderId="0" xfId="8" applyFont="1" applyAlignment="1">
      <alignment horizontal="right"/>
    </xf>
    <xf numFmtId="37" fontId="8" fillId="0" borderId="0" xfId="8" applyNumberFormat="1" applyFont="1"/>
    <xf numFmtId="37" fontId="8" fillId="0" borderId="0" xfId="8" applyNumberFormat="1" applyFont="1" applyFill="1"/>
    <xf numFmtId="37" fontId="8" fillId="2" borderId="1" xfId="8" applyNumberFormat="1" applyFont="1" applyFill="1" applyBorder="1"/>
    <xf numFmtId="9" fontId="8" fillId="0" borderId="0" xfId="8" applyNumberFormat="1" applyFont="1"/>
    <xf numFmtId="37" fontId="8" fillId="2" borderId="0" xfId="8" applyNumberFormat="1" applyFont="1" applyFill="1"/>
    <xf numFmtId="0" fontId="8" fillId="0" borderId="0" xfId="8" applyFont="1" applyAlignment="1">
      <alignment horizontal="left"/>
    </xf>
    <xf numFmtId="37" fontId="8" fillId="0" borderId="1" xfId="8" applyNumberFormat="1" applyFont="1" applyFill="1" applyBorder="1"/>
    <xf numFmtId="0" fontId="8" fillId="0" borderId="0" xfId="8" applyFont="1" applyBorder="1"/>
    <xf numFmtId="9" fontId="8" fillId="0" borderId="0" xfId="8" applyNumberFormat="1" applyFont="1" applyBorder="1"/>
    <xf numFmtId="0" fontId="8" fillId="0" borderId="0" xfId="3" applyFont="1" applyAlignment="1">
      <alignment horizontal="left" indent="1"/>
    </xf>
    <xf numFmtId="37" fontId="8" fillId="0" borderId="0" xfId="3" applyNumberFormat="1" applyFont="1" applyFill="1"/>
    <xf numFmtId="37" fontId="8" fillId="2" borderId="0" xfId="10" applyNumberFormat="1" applyFont="1" applyFill="1"/>
    <xf numFmtId="37" fontId="8" fillId="2" borderId="0" xfId="3" applyNumberFormat="1" applyFont="1" applyFill="1"/>
    <xf numFmtId="37" fontId="8" fillId="2" borderId="1" xfId="3" applyNumberFormat="1" applyFont="1" applyFill="1" applyBorder="1"/>
    <xf numFmtId="37" fontId="8" fillId="2" borderId="0" xfId="3" applyNumberFormat="1" applyFont="1" applyFill="1" applyBorder="1"/>
    <xf numFmtId="0" fontId="8" fillId="0" borderId="0" xfId="0" applyFont="1" applyAlignment="1">
      <alignment horizontal="left" indent="3"/>
    </xf>
    <xf numFmtId="37" fontId="8" fillId="2" borderId="0" xfId="1" applyNumberFormat="1" applyFont="1" applyFill="1"/>
    <xf numFmtId="0" fontId="16" fillId="0" borderId="0" xfId="0" applyFont="1"/>
    <xf numFmtId="0" fontId="12" fillId="0" borderId="0" xfId="0" applyFont="1" applyAlignment="1">
      <alignment horizontal="right"/>
    </xf>
    <xf numFmtId="9" fontId="8" fillId="0" borderId="0" xfId="0" applyNumberFormat="1" applyFont="1"/>
    <xf numFmtId="3" fontId="8" fillId="0" borderId="0" xfId="0" applyNumberFormat="1" applyFont="1"/>
    <xf numFmtId="37" fontId="8" fillId="0" borderId="0" xfId="0" applyNumberFormat="1" applyFont="1"/>
    <xf numFmtId="165" fontId="8" fillId="2" borderId="0" xfId="0" applyNumberFormat="1" applyFont="1" applyFill="1"/>
    <xf numFmtId="164" fontId="8" fillId="2" borderId="0" xfId="8" applyNumberFormat="1" applyFont="1" applyFill="1"/>
    <xf numFmtId="164" fontId="8" fillId="2" borderId="0" xfId="0" applyNumberFormat="1" applyFont="1" applyFill="1"/>
    <xf numFmtId="164" fontId="8" fillId="2" borderId="0" xfId="14" applyNumberFormat="1" applyFont="1" applyFill="1"/>
    <xf numFmtId="0" fontId="11" fillId="0" borderId="0" xfId="6" applyFont="1"/>
    <xf numFmtId="0" fontId="17" fillId="0" borderId="0" xfId="10" quotePrefix="1" applyFont="1" applyAlignment="1">
      <alignment horizontal="right"/>
    </xf>
    <xf numFmtId="37" fontId="8" fillId="0" borderId="0" xfId="10" applyNumberFormat="1" applyFont="1"/>
    <xf numFmtId="37" fontId="8" fillId="4" borderId="0" xfId="10" applyNumberFormat="1" applyFont="1" applyFill="1" applyBorder="1"/>
    <xf numFmtId="37" fontId="8" fillId="5" borderId="2" xfId="10" applyNumberFormat="1" applyFont="1" applyFill="1" applyBorder="1"/>
    <xf numFmtId="0" fontId="10" fillId="0" borderId="0" xfId="4" quotePrefix="1" applyFont="1" applyAlignment="1">
      <alignment horizontal="right"/>
    </xf>
    <xf numFmtId="37" fontId="8" fillId="0" borderId="0" xfId="4" applyNumberFormat="1" applyFont="1"/>
    <xf numFmtId="37" fontId="8" fillId="2" borderId="0" xfId="4" applyNumberFormat="1" applyFont="1" applyFill="1"/>
    <xf numFmtId="37" fontId="8" fillId="0" borderId="0" xfId="4" applyNumberFormat="1" applyFont="1" applyFill="1"/>
    <xf numFmtId="0" fontId="8" fillId="0" borderId="0" xfId="4" applyFont="1" applyAlignment="1">
      <alignment horizontal="left" indent="2"/>
    </xf>
    <xf numFmtId="37" fontId="8" fillId="2" borderId="0" xfId="13" applyNumberFormat="1" applyFont="1" applyFill="1"/>
    <xf numFmtId="37" fontId="8" fillId="0" borderId="0" xfId="4" applyNumberFormat="1" applyFont="1" applyBorder="1"/>
    <xf numFmtId="37" fontId="8" fillId="0" borderId="1" xfId="4" applyNumberFormat="1" applyFont="1" applyFill="1" applyBorder="1"/>
    <xf numFmtId="37" fontId="8" fillId="3" borderId="0" xfId="4" applyNumberFormat="1" applyFont="1" applyFill="1"/>
    <xf numFmtId="0" fontId="8" fillId="0" borderId="0" xfId="4" applyFont="1" applyAlignment="1">
      <alignment horizontal="left"/>
    </xf>
    <xf numFmtId="37" fontId="8" fillId="2" borderId="1" xfId="4" applyNumberFormat="1" applyFont="1" applyFill="1" applyBorder="1"/>
    <xf numFmtId="37" fontId="8" fillId="3" borderId="1" xfId="4" applyNumberFormat="1" applyFont="1" applyFill="1" applyBorder="1"/>
    <xf numFmtId="37" fontId="8" fillId="2" borderId="0" xfId="11" applyNumberFormat="1" applyFont="1" applyFill="1"/>
    <xf numFmtId="0" fontId="12" fillId="0" borderId="0" xfId="13" applyFont="1" applyAlignment="1">
      <alignment horizontal="right"/>
    </xf>
    <xf numFmtId="0" fontId="11" fillId="0" borderId="0" xfId="3" applyFont="1"/>
    <xf numFmtId="0" fontId="11" fillId="0" borderId="0" xfId="3" applyFont="1" applyAlignment="1">
      <alignment horizontal="left" indent="1"/>
    </xf>
    <xf numFmtId="0" fontId="11" fillId="0" borderId="0" xfId="4" applyFont="1"/>
    <xf numFmtId="0" fontId="11" fillId="0" borderId="0" xfId="7" applyFont="1"/>
    <xf numFmtId="0" fontId="8" fillId="0" borderId="0" xfId="7" applyFont="1" applyAlignment="1">
      <alignment horizontal="left" indent="2"/>
    </xf>
    <xf numFmtId="0" fontId="8" fillId="0" borderId="0" xfId="7" applyFont="1" applyAlignment="1">
      <alignment horizontal="left" indent="1"/>
    </xf>
    <xf numFmtId="0" fontId="11" fillId="0" borderId="0" xfId="0" applyFont="1" applyAlignment="1">
      <alignment horizontal="left" indent="1"/>
    </xf>
    <xf numFmtId="37" fontId="8" fillId="0" borderId="0" xfId="8" applyNumberFormat="1" applyFont="1" applyFill="1" applyBorder="1"/>
    <xf numFmtId="0" fontId="20" fillId="2" borderId="0" xfId="9" applyFont="1" applyFill="1"/>
    <xf numFmtId="0" fontId="20" fillId="2" borderId="0" xfId="12" applyFont="1" applyFill="1"/>
    <xf numFmtId="0" fontId="20" fillId="2" borderId="0" xfId="10" applyFont="1" applyFill="1"/>
    <xf numFmtId="0" fontId="22" fillId="0" borderId="0" xfId="10" applyFont="1"/>
    <xf numFmtId="0" fontId="23" fillId="0" borderId="0" xfId="10" applyFont="1"/>
    <xf numFmtId="0" fontId="18" fillId="0" borderId="0" xfId="10" applyFont="1"/>
    <xf numFmtId="0" fontId="16" fillId="0" borderId="0" xfId="10" applyFont="1"/>
    <xf numFmtId="0" fontId="5" fillId="0" borderId="0" xfId="10" applyFont="1"/>
    <xf numFmtId="0" fontId="4" fillId="0" borderId="0" xfId="10" applyFont="1"/>
    <xf numFmtId="0" fontId="16" fillId="0" borderId="0" xfId="10" quotePrefix="1" applyFont="1"/>
    <xf numFmtId="0" fontId="18" fillId="0" borderId="0" xfId="9" applyFont="1"/>
    <xf numFmtId="0" fontId="18" fillId="0" borderId="0" xfId="6" applyFont="1"/>
    <xf numFmtId="0" fontId="24" fillId="2" borderId="0" xfId="6" applyFont="1" applyFill="1"/>
    <xf numFmtId="0" fontId="18" fillId="0" borderId="0" xfId="13" applyFont="1"/>
    <xf numFmtId="0" fontId="24" fillId="2" borderId="0" xfId="13" applyFont="1" applyFill="1"/>
    <xf numFmtId="0" fontId="18" fillId="0" borderId="0" xfId="8" applyFont="1"/>
    <xf numFmtId="0" fontId="16" fillId="0" borderId="0" xfId="8" applyFont="1"/>
    <xf numFmtId="0" fontId="5" fillId="0" borderId="0" xfId="8" applyFont="1"/>
    <xf numFmtId="0" fontId="4" fillId="0" borderId="0" xfId="8" applyFont="1"/>
    <xf numFmtId="0" fontId="18" fillId="0" borderId="0" xfId="8" applyFont="1" applyAlignment="1">
      <alignment horizontal="left"/>
    </xf>
    <xf numFmtId="0" fontId="24" fillId="2" borderId="0" xfId="8" applyFont="1" applyFill="1"/>
    <xf numFmtId="0" fontId="8" fillId="2" borderId="0" xfId="8" applyFont="1" applyFill="1"/>
    <xf numFmtId="0" fontId="25" fillId="0" borderId="0" xfId="3" applyFont="1"/>
    <xf numFmtId="0" fontId="18" fillId="0" borderId="0" xfId="3" applyFont="1"/>
    <xf numFmtId="0" fontId="16" fillId="0" borderId="0" xfId="3" applyFont="1"/>
    <xf numFmtId="0" fontId="24" fillId="2" borderId="0" xfId="3" applyFont="1" applyFill="1"/>
    <xf numFmtId="0" fontId="12" fillId="0" borderId="0" xfId="3" applyFont="1" applyAlignment="1">
      <alignment horizontal="right"/>
    </xf>
    <xf numFmtId="0" fontId="18" fillId="0" borderId="0" xfId="4" applyFont="1"/>
    <xf numFmtId="0" fontId="16" fillId="0" borderId="0" xfId="4" applyFont="1"/>
    <xf numFmtId="0" fontId="5" fillId="0" borderId="0" xfId="4" applyFont="1"/>
    <xf numFmtId="0" fontId="4" fillId="0" borderId="0" xfId="4" applyFont="1"/>
    <xf numFmtId="0" fontId="18" fillId="0" borderId="0" xfId="4" applyFont="1" applyAlignment="1">
      <alignment horizontal="left"/>
    </xf>
    <xf numFmtId="0" fontId="24" fillId="2" borderId="0" xfId="4" applyFont="1" applyFill="1"/>
    <xf numFmtId="0" fontId="18" fillId="0" borderId="0" xfId="7" applyFont="1" applyFill="1" applyBorder="1" applyAlignment="1">
      <alignment horizontal="left"/>
    </xf>
    <xf numFmtId="0" fontId="5" fillId="0" borderId="0" xfId="7" applyFont="1"/>
    <xf numFmtId="0" fontId="4" fillId="0" borderId="0" xfId="7" applyFont="1"/>
    <xf numFmtId="0" fontId="18" fillId="0" borderId="0" xfId="7" applyFont="1"/>
    <xf numFmtId="0" fontId="24" fillId="2" borderId="0" xfId="7" applyFont="1" applyFill="1"/>
    <xf numFmtId="0" fontId="12" fillId="0" borderId="0" xfId="7" applyFont="1" applyAlignment="1">
      <alignment horizontal="right"/>
    </xf>
    <xf numFmtId="0" fontId="18" fillId="0" borderId="0" xfId="0" applyFont="1"/>
    <xf numFmtId="0" fontId="24" fillId="2" borderId="0" xfId="0" applyFont="1" applyFill="1"/>
    <xf numFmtId="164" fontId="8" fillId="3" borderId="0" xfId="8" applyNumberFormat="1" applyFont="1" applyFill="1"/>
    <xf numFmtId="9" fontId="8" fillId="3" borderId="0" xfId="8" applyNumberFormat="1" applyFont="1" applyFill="1"/>
    <xf numFmtId="9" fontId="8" fillId="3" borderId="0" xfId="14" applyFont="1" applyFill="1"/>
    <xf numFmtId="0" fontId="24" fillId="2" borderId="0" xfId="9" applyFont="1" applyFill="1"/>
    <xf numFmtId="0" fontId="16" fillId="0" borderId="0" xfId="13" applyFont="1"/>
    <xf numFmtId="37" fontId="8" fillId="0" borderId="0" xfId="13" applyNumberFormat="1" applyFont="1"/>
    <xf numFmtId="164" fontId="8" fillId="4" borderId="0" xfId="14" applyNumberFormat="1" applyFont="1" applyFill="1"/>
    <xf numFmtId="37" fontId="8" fillId="5" borderId="0" xfId="13" applyNumberFormat="1" applyFont="1" applyFill="1"/>
    <xf numFmtId="0" fontId="12" fillId="0" borderId="0" xfId="8" applyFont="1" applyAlignment="1">
      <alignment horizontal="right"/>
    </xf>
    <xf numFmtId="0" fontId="24" fillId="2" borderId="0" xfId="5" applyFont="1" applyFill="1"/>
    <xf numFmtId="0" fontId="18" fillId="0" borderId="0" xfId="5" applyFont="1"/>
    <xf numFmtId="0" fontId="18" fillId="0" borderId="0" xfId="12" applyFont="1"/>
    <xf numFmtId="0" fontId="8" fillId="0" borderId="0" xfId="4" applyFont="1" applyFill="1"/>
    <xf numFmtId="37" fontId="8" fillId="3" borderId="0" xfId="8" applyNumberFormat="1" applyFont="1" applyFill="1"/>
    <xf numFmtId="37" fontId="8" fillId="2" borderId="3" xfId="8" applyNumberFormat="1" applyFont="1" applyFill="1" applyBorder="1"/>
    <xf numFmtId="37" fontId="8" fillId="3" borderId="0" xfId="3" applyNumberFormat="1" applyFont="1" applyFill="1"/>
    <xf numFmtId="37" fontId="8" fillId="3" borderId="0" xfId="3" applyNumberFormat="1" applyFont="1" applyFill="1" applyBorder="1"/>
    <xf numFmtId="37" fontId="8" fillId="3" borderId="2" xfId="3" applyNumberFormat="1" applyFont="1" applyFill="1" applyBorder="1"/>
    <xf numFmtId="0" fontId="3" fillId="0" borderId="0" xfId="7" applyFill="1" applyBorder="1"/>
    <xf numFmtId="0" fontId="8" fillId="0" borderId="0" xfId="4" applyFont="1" applyFill="1" applyBorder="1"/>
    <xf numFmtId="0" fontId="25" fillId="0" borderId="0" xfId="3" applyFont="1" applyFill="1" applyBorder="1"/>
    <xf numFmtId="0" fontId="11" fillId="0" borderId="0" xfId="8" applyFont="1" applyFill="1" applyBorder="1"/>
    <xf numFmtId="0" fontId="8" fillId="0" borderId="0" xfId="8" applyFont="1" applyFill="1" applyBorder="1"/>
    <xf numFmtId="0" fontId="8" fillId="0" borderId="0" xfId="13" applyFont="1" applyFill="1" applyBorder="1"/>
    <xf numFmtId="0" fontId="8" fillId="0" borderId="0" xfId="0" applyFont="1" applyFill="1" applyBorder="1"/>
    <xf numFmtId="0" fontId="21" fillId="0" borderId="0" xfId="10" applyFont="1" applyFill="1" applyBorder="1"/>
    <xf numFmtId="0" fontId="18" fillId="0" borderId="0" xfId="8" applyFont="1" applyAlignment="1">
      <alignment horizontal="right"/>
    </xf>
    <xf numFmtId="0" fontId="12" fillId="0" borderId="0" xfId="8" applyFont="1"/>
    <xf numFmtId="37" fontId="8" fillId="3" borderId="1" xfId="8" applyNumberFormat="1" applyFont="1" applyFill="1" applyBorder="1"/>
    <xf numFmtId="37" fontId="8" fillId="0" borderId="1" xfId="8" applyNumberFormat="1" applyFont="1" applyBorder="1"/>
    <xf numFmtId="0" fontId="8" fillId="2" borderId="0" xfId="4" applyFont="1" applyFill="1"/>
    <xf numFmtId="0" fontId="12" fillId="0" borderId="0" xfId="4" applyFont="1"/>
    <xf numFmtId="37" fontId="8" fillId="0" borderId="1" xfId="4" applyNumberFormat="1" applyFont="1" applyBorder="1"/>
    <xf numFmtId="37" fontId="8" fillId="5" borderId="3" xfId="8" applyNumberFormat="1" applyFont="1" applyFill="1" applyBorder="1"/>
    <xf numFmtId="0" fontId="8" fillId="0" borderId="0" xfId="11" applyFont="1" applyAlignment="1">
      <alignment horizontal="left" indent="1"/>
    </xf>
    <xf numFmtId="0" fontId="8" fillId="0" borderId="0" xfId="11" applyFont="1" applyAlignment="1">
      <alignment horizontal="left" indent="2"/>
    </xf>
    <xf numFmtId="0" fontId="18" fillId="0" borderId="0" xfId="11" applyFont="1" applyAlignment="1">
      <alignment horizontal="center"/>
    </xf>
    <xf numFmtId="0" fontId="8" fillId="0" borderId="0" xfId="11" applyFont="1" applyAlignment="1">
      <alignment horizontal="center"/>
    </xf>
    <xf numFmtId="37" fontId="8" fillId="4" borderId="1" xfId="1" applyNumberFormat="1" applyFont="1" applyFill="1" applyBorder="1"/>
    <xf numFmtId="0" fontId="11" fillId="0" borderId="0" xfId="12" applyFont="1" applyAlignment="1">
      <alignment horizontal="left" indent="1"/>
    </xf>
    <xf numFmtId="0" fontId="11" fillId="0" borderId="0" xfId="5" applyFont="1" applyAlignment="1">
      <alignment horizontal="left" indent="1"/>
    </xf>
    <xf numFmtId="0" fontId="14" fillId="0" borderId="0" xfId="10" applyFont="1" applyAlignment="1">
      <alignment horizontal="left" indent="2"/>
    </xf>
    <xf numFmtId="0" fontId="11" fillId="0" borderId="0" xfId="9" applyFont="1" applyAlignment="1">
      <alignment horizontal="left"/>
    </xf>
    <xf numFmtId="37" fontId="8" fillId="5" borderId="0" xfId="14" applyNumberFormat="1" applyFont="1" applyFill="1"/>
    <xf numFmtId="0" fontId="3" fillId="0" borderId="0" xfId="10" applyFill="1"/>
    <xf numFmtId="37" fontId="8" fillId="2" borderId="1" xfId="13" applyNumberFormat="1" applyFont="1" applyFill="1" applyBorder="1"/>
    <xf numFmtId="0" fontId="8" fillId="0" borderId="0" xfId="3" applyFont="1" applyAlignment="1">
      <alignment horizontal="left" indent="2"/>
    </xf>
    <xf numFmtId="0" fontId="11" fillId="0" borderId="0" xfId="3" applyFont="1" applyAlignment="1">
      <alignment horizontal="left" indent="2"/>
    </xf>
    <xf numFmtId="0" fontId="18" fillId="0" borderId="0" xfId="11" applyFont="1" applyAlignment="1">
      <alignment horizontal="left"/>
    </xf>
    <xf numFmtId="37" fontId="3" fillId="5" borderId="0" xfId="10" applyNumberFormat="1" applyFill="1"/>
    <xf numFmtId="0" fontId="11" fillId="0" borderId="0" xfId="0" applyFont="1" applyFill="1"/>
    <xf numFmtId="0" fontId="8" fillId="0" borderId="0" xfId="7" applyFont="1" applyAlignment="1">
      <alignment horizontal="left" indent="3"/>
    </xf>
    <xf numFmtId="0" fontId="28" fillId="0" borderId="0" xfId="8" applyFont="1"/>
    <xf numFmtId="37" fontId="8" fillId="0" borderId="0" xfId="13" applyNumberFormat="1" applyFont="1" applyFill="1" applyBorder="1"/>
    <xf numFmtId="165" fontId="8" fillId="0" borderId="0" xfId="13" applyNumberFormat="1" applyFont="1" applyAlignment="1">
      <alignment horizontal="center"/>
    </xf>
    <xf numFmtId="0" fontId="18" fillId="0" borderId="0" xfId="8" applyFont="1" applyAlignment="1">
      <alignment horizontal="center"/>
    </xf>
    <xf numFmtId="0" fontId="8" fillId="3" borderId="0" xfId="8" applyFont="1" applyFill="1"/>
    <xf numFmtId="0" fontId="11" fillId="0" borderId="0" xfId="8" applyFont="1" applyFill="1"/>
    <xf numFmtId="0" fontId="13" fillId="0" borderId="0" xfId="8" applyFont="1" applyAlignment="1">
      <alignment horizontal="center"/>
    </xf>
    <xf numFmtId="0" fontId="12" fillId="0" borderId="0" xfId="8" applyFont="1" applyAlignment="1">
      <alignment horizontal="center"/>
    </xf>
    <xf numFmtId="0" fontId="24" fillId="0" borderId="0" xfId="8" applyFont="1" applyAlignment="1">
      <alignment horizontal="left"/>
    </xf>
    <xf numFmtId="0" fontId="24" fillId="0" borderId="0" xfId="8" applyFont="1"/>
    <xf numFmtId="37" fontId="8" fillId="0" borderId="0" xfId="8" applyNumberFormat="1" applyFont="1" applyAlignment="1">
      <alignment horizontal="left"/>
    </xf>
    <xf numFmtId="37" fontId="3" fillId="2" borderId="0" xfId="8" applyNumberFormat="1" applyFill="1"/>
    <xf numFmtId="37" fontId="3" fillId="2" borderId="1" xfId="8" applyNumberFormat="1" applyFill="1" applyBorder="1"/>
    <xf numFmtId="37" fontId="3" fillId="2" borderId="3" xfId="8" applyNumberFormat="1" applyFill="1" applyBorder="1"/>
    <xf numFmtId="0" fontId="10" fillId="0" borderId="0" xfId="4" applyFont="1" applyAlignment="1">
      <alignment horizontal="right"/>
    </xf>
    <xf numFmtId="37" fontId="8" fillId="4" borderId="0" xfId="0" applyNumberFormat="1" applyFont="1" applyFill="1"/>
    <xf numFmtId="37" fontId="8" fillId="5" borderId="0" xfId="7" applyNumberFormat="1" applyFont="1" applyFill="1"/>
    <xf numFmtId="37" fontId="8" fillId="0" borderId="0" xfId="7" applyNumberFormat="1" applyFont="1"/>
    <xf numFmtId="37" fontId="8" fillId="5" borderId="0" xfId="0" applyNumberFormat="1" applyFont="1" applyFill="1"/>
    <xf numFmtId="164" fontId="8" fillId="4" borderId="0" xfId="0" applyNumberFormat="1" applyFont="1" applyFill="1"/>
    <xf numFmtId="164" fontId="8" fillId="4" borderId="0" xfId="7" applyNumberFormat="1" applyFont="1" applyFill="1"/>
    <xf numFmtId="37" fontId="8" fillId="2" borderId="0" xfId="7" applyNumberFormat="1" applyFont="1" applyFill="1"/>
    <xf numFmtId="37" fontId="8" fillId="4" borderId="1" xfId="0" applyNumberFormat="1" applyFont="1" applyFill="1" applyBorder="1"/>
    <xf numFmtId="0" fontId="8" fillId="0" borderId="0" xfId="7" applyFont="1" applyFill="1"/>
    <xf numFmtId="37" fontId="8" fillId="4" borderId="0" xfId="7" applyNumberFormat="1" applyFont="1" applyFill="1" applyAlignment="1">
      <alignment horizontal="right"/>
    </xf>
    <xf numFmtId="37" fontId="3" fillId="4" borderId="0" xfId="10" applyNumberFormat="1" applyFill="1"/>
    <xf numFmtId="0" fontId="28" fillId="0" borderId="1" xfId="8" applyFont="1" applyBorder="1" applyAlignment="1">
      <alignment horizontal="center"/>
    </xf>
    <xf numFmtId="9" fontId="8" fillId="2" borderId="0" xfId="14" applyFont="1" applyFill="1"/>
    <xf numFmtId="0" fontId="8" fillId="0" borderId="0" xfId="7" applyFont="1" applyAlignment="1">
      <alignment horizontal="left" indent="4"/>
    </xf>
    <xf numFmtId="37" fontId="8" fillId="5" borderId="0" xfId="13" applyNumberFormat="1" applyFont="1" applyFill="1" applyBorder="1"/>
    <xf numFmtId="167" fontId="0" fillId="5" borderId="0" xfId="0" applyNumberFormat="1" applyFill="1" applyBorder="1"/>
    <xf numFmtId="167" fontId="0" fillId="5" borderId="1" xfId="0" applyNumberFormat="1" applyFill="1" applyBorder="1"/>
    <xf numFmtId="0" fontId="8" fillId="0" borderId="0" xfId="13" applyFont="1" applyAlignment="1">
      <alignment horizontal="left" indent="1"/>
    </xf>
    <xf numFmtId="37" fontId="8" fillId="2" borderId="0" xfId="13" applyNumberFormat="1" applyFont="1" applyFill="1" applyBorder="1"/>
    <xf numFmtId="37" fontId="8" fillId="2" borderId="2" xfId="8" applyNumberFormat="1" applyFont="1" applyFill="1" applyBorder="1"/>
    <xf numFmtId="37" fontId="3" fillId="0" borderId="0" xfId="4" applyNumberFormat="1"/>
    <xf numFmtId="0" fontId="28" fillId="0" borderId="0" xfId="8" applyFont="1" applyBorder="1" applyAlignment="1">
      <alignment horizontal="center"/>
    </xf>
    <xf numFmtId="37" fontId="29" fillId="2" borderId="0" xfId="8" applyNumberFormat="1" applyFont="1" applyFill="1"/>
    <xf numFmtId="37" fontId="3" fillId="2" borderId="0" xfId="4" applyNumberFormat="1" applyFill="1"/>
    <xf numFmtId="37" fontId="3" fillId="3" borderId="0" xfId="4" applyNumberFormat="1" applyFill="1"/>
    <xf numFmtId="37" fontId="3" fillId="2" borderId="0" xfId="4" applyNumberFormat="1" applyFont="1" applyFill="1"/>
    <xf numFmtId="37" fontId="8" fillId="0" borderId="0" xfId="1" applyNumberFormat="1" applyFont="1" applyFill="1"/>
    <xf numFmtId="0" fontId="12" fillId="0" borderId="0" xfId="8" applyFont="1" applyFill="1" applyAlignment="1">
      <alignment horizontal="right"/>
    </xf>
    <xf numFmtId="0" fontId="10" fillId="0" borderId="0" xfId="8" quotePrefix="1" applyFont="1" applyFill="1" applyAlignment="1">
      <alignment horizontal="center"/>
    </xf>
    <xf numFmtId="164" fontId="8" fillId="0" borderId="0" xfId="8" applyNumberFormat="1" applyFont="1" applyFill="1"/>
    <xf numFmtId="164" fontId="8" fillId="0" borderId="0" xfId="8" applyNumberFormat="1" applyFont="1" applyFill="1" applyBorder="1"/>
    <xf numFmtId="37" fontId="8" fillId="7" borderId="0" xfId="8" applyNumberFormat="1" applyFont="1" applyFill="1"/>
    <xf numFmtId="37" fontId="18" fillId="7" borderId="0" xfId="8" applyNumberFormat="1" applyFont="1" applyFill="1" applyAlignment="1">
      <alignment horizontal="center"/>
    </xf>
    <xf numFmtId="0" fontId="3" fillId="7" borderId="0" xfId="8" applyFill="1"/>
    <xf numFmtId="37" fontId="24" fillId="7" borderId="0" xfId="8" applyNumberFormat="1" applyFont="1" applyFill="1" applyAlignment="1">
      <alignment horizontal="center"/>
    </xf>
    <xf numFmtId="37" fontId="18" fillId="7" borderId="0" xfId="8" applyNumberFormat="1" applyFont="1" applyFill="1" applyAlignment="1">
      <alignment horizontal="left"/>
    </xf>
    <xf numFmtId="37" fontId="17" fillId="7" borderId="0" xfId="8" applyNumberFormat="1" applyFont="1" applyFill="1" applyAlignment="1">
      <alignment horizontal="center"/>
    </xf>
    <xf numFmtId="37" fontId="8" fillId="7" borderId="0" xfId="8" applyNumberFormat="1" applyFont="1" applyFill="1" applyAlignment="1">
      <alignment horizontal="left"/>
    </xf>
    <xf numFmtId="37" fontId="8" fillId="7" borderId="0" xfId="8" applyNumberFormat="1" applyFont="1" applyFill="1" applyBorder="1"/>
    <xf numFmtId="37" fontId="8" fillId="7" borderId="0" xfId="8" applyNumberFormat="1" applyFont="1" applyFill="1" applyAlignment="1">
      <alignment horizontal="left" indent="1"/>
    </xf>
    <xf numFmtId="0" fontId="12" fillId="0" borderId="0" xfId="0" applyFont="1" applyFill="1" applyAlignment="1">
      <alignment horizontal="center"/>
    </xf>
    <xf numFmtId="2" fontId="8" fillId="0" borderId="0" xfId="0" applyNumberFormat="1" applyFont="1" applyFill="1"/>
    <xf numFmtId="165" fontId="8" fillId="0" borderId="0" xfId="0" applyNumberFormat="1" applyFont="1" applyFill="1"/>
    <xf numFmtId="164" fontId="8" fillId="0" borderId="0" xfId="0" applyNumberFormat="1" applyFont="1" applyFill="1"/>
    <xf numFmtId="37" fontId="3" fillId="0" borderId="0" xfId="10" applyNumberFormat="1" applyFill="1"/>
    <xf numFmtId="37" fontId="3" fillId="0" borderId="0" xfId="10" applyNumberFormat="1" applyFill="1" applyBorder="1"/>
    <xf numFmtId="37" fontId="8" fillId="0" borderId="0" xfId="4" applyNumberFormat="1" applyFont="1" applyFill="1" applyBorder="1"/>
    <xf numFmtId="37" fontId="3" fillId="2" borderId="1" xfId="4" applyNumberFormat="1" applyFill="1" applyBorder="1"/>
    <xf numFmtId="37" fontId="3" fillId="3" borderId="1" xfId="4" applyNumberFormat="1" applyFill="1" applyBorder="1"/>
    <xf numFmtId="37" fontId="29" fillId="2" borderId="1" xfId="8" applyNumberFormat="1" applyFont="1" applyFill="1" applyBorder="1"/>
    <xf numFmtId="37" fontId="3" fillId="0" borderId="0" xfId="4" applyNumberFormat="1" applyFill="1"/>
    <xf numFmtId="0" fontId="11" fillId="0" borderId="0" xfId="7" applyFont="1" applyAlignment="1">
      <alignment horizontal="left"/>
    </xf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19" fillId="4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37" fontId="0" fillId="0" borderId="0" xfId="0" applyNumberFormat="1" applyFill="1" applyBorder="1" applyAlignment="1">
      <alignment horizontal="center"/>
    </xf>
    <xf numFmtId="9" fontId="19" fillId="4" borderId="0" xfId="14" applyFont="1" applyFill="1" applyAlignment="1" applyProtection="1">
      <alignment horizontal="center"/>
      <protection locked="0"/>
    </xf>
    <xf numFmtId="6" fontId="19" fillId="4" borderId="0" xfId="2" applyNumberFormat="1" applyFont="1" applyFill="1" applyAlignment="1" applyProtection="1">
      <alignment horizontal="center"/>
      <protection locked="0"/>
    </xf>
    <xf numFmtId="37" fontId="0" fillId="0" borderId="0" xfId="0" applyNumberFormat="1" applyBorder="1" applyAlignment="1">
      <alignment horizontal="center"/>
    </xf>
    <xf numFmtId="0" fontId="2" fillId="0" borderId="0" xfId="0" applyFont="1" applyFill="1" applyAlignment="1">
      <alignment horizontal="right"/>
    </xf>
    <xf numFmtId="6" fontId="0" fillId="0" borderId="0" xfId="2" applyNumberFormat="1" applyFont="1" applyFill="1" applyAlignment="1">
      <alignment horizontal="center"/>
    </xf>
    <xf numFmtId="37" fontId="0" fillId="0" borderId="0" xfId="0" applyNumberFormat="1" applyFill="1" applyBorder="1"/>
    <xf numFmtId="164" fontId="19" fillId="4" borderId="0" xfId="14" applyNumberFormat="1" applyFont="1" applyFill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0" fontId="2" fillId="0" borderId="0" xfId="0" applyFont="1" applyFill="1" applyAlignment="1">
      <alignment horizontal="left"/>
    </xf>
    <xf numFmtId="0" fontId="32" fillId="0" borderId="0" xfId="0" applyFont="1" applyFill="1" applyAlignment="1">
      <alignment horizontal="left" indent="1"/>
    </xf>
    <xf numFmtId="0" fontId="6" fillId="0" borderId="0" xfId="0" applyFont="1" applyAlignment="1">
      <alignment horizontal="left" indent="1"/>
    </xf>
    <xf numFmtId="0" fontId="32" fillId="0" borderId="0" xfId="0" applyFont="1" applyAlignment="1">
      <alignment horizontal="left" indent="1"/>
    </xf>
    <xf numFmtId="0" fontId="1" fillId="0" borderId="0" xfId="0" applyFont="1" applyFill="1" applyAlignment="1">
      <alignment horizontal="left" indent="1"/>
    </xf>
    <xf numFmtId="0" fontId="15" fillId="0" borderId="0" xfId="0" applyFont="1"/>
    <xf numFmtId="37" fontId="19" fillId="4" borderId="0" xfId="0" applyNumberFormat="1" applyFont="1" applyFill="1" applyBorder="1" applyProtection="1">
      <protection locked="0"/>
    </xf>
    <xf numFmtId="0" fontId="8" fillId="0" borderId="0" xfId="0" applyFont="1" applyAlignment="1">
      <alignment horizontal="right"/>
    </xf>
    <xf numFmtId="37" fontId="8" fillId="0" borderId="0" xfId="0" applyNumberFormat="1" applyFont="1" applyBorder="1" applyAlignment="1">
      <alignment horizontal="center"/>
    </xf>
    <xf numFmtId="37" fontId="8" fillId="0" borderId="0" xfId="0" applyNumberFormat="1" applyFont="1" applyBorder="1"/>
    <xf numFmtId="0" fontId="8" fillId="0" borderId="0" xfId="0" applyFont="1" applyFill="1" applyAlignment="1">
      <alignment horizontal="right"/>
    </xf>
    <xf numFmtId="6" fontId="8" fillId="0" borderId="0" xfId="2" applyNumberFormat="1" applyFont="1" applyFill="1" applyAlignment="1">
      <alignment horizontal="center"/>
    </xf>
    <xf numFmtId="37" fontId="8" fillId="0" borderId="0" xfId="0" applyNumberFormat="1" applyFont="1" applyFill="1" applyBorder="1" applyAlignment="1">
      <alignment horizontal="center"/>
    </xf>
    <xf numFmtId="37" fontId="8" fillId="0" borderId="0" xfId="0" applyNumberFormat="1" applyFont="1" applyFill="1" applyBorder="1"/>
    <xf numFmtId="0" fontId="8" fillId="0" borderId="0" xfId="0" applyFont="1" applyFill="1" applyAlignment="1">
      <alignment horizontal="center"/>
    </xf>
    <xf numFmtId="6" fontId="8" fillId="0" borderId="0" xfId="0" applyNumberFormat="1" applyFont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1" fillId="0" borderId="0" xfId="0" applyFont="1" applyAlignment="1">
      <alignment horizontal="center"/>
    </xf>
    <xf numFmtId="6" fontId="11" fillId="0" borderId="0" xfId="2" applyNumberFormat="1" applyFont="1" applyAlignment="1">
      <alignment horizontal="center"/>
    </xf>
    <xf numFmtId="164" fontId="8" fillId="0" borderId="0" xfId="14" applyNumberFormat="1" applyFont="1" applyAlignment="1">
      <alignment horizontal="center"/>
    </xf>
    <xf numFmtId="6" fontId="8" fillId="0" borderId="0" xfId="2" applyNumberFormat="1" applyFont="1" applyAlignment="1">
      <alignment horizontal="center"/>
    </xf>
    <xf numFmtId="9" fontId="8" fillId="0" borderId="0" xfId="14" applyFont="1" applyAlignment="1">
      <alignment horizontal="center"/>
    </xf>
    <xf numFmtId="9" fontId="8" fillId="0" borderId="0" xfId="0" applyNumberFormat="1" applyFont="1" applyAlignment="1">
      <alignment horizontal="center"/>
    </xf>
    <xf numFmtId="6" fontId="8" fillId="0" borderId="0" xfId="0" applyNumberFormat="1" applyFont="1"/>
    <xf numFmtId="6" fontId="8" fillId="0" borderId="0" xfId="2" applyNumberFormat="1" applyFont="1"/>
    <xf numFmtId="0" fontId="11" fillId="0" borderId="0" xfId="0" applyFont="1" applyAlignment="1">
      <alignment horizontal="right"/>
    </xf>
    <xf numFmtId="0" fontId="11" fillId="0" borderId="1" xfId="0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2" fillId="0" borderId="0" xfId="0" applyFont="1" applyFill="1" applyAlignment="1">
      <alignment horizontal="left" indent="1"/>
    </xf>
    <xf numFmtId="5" fontId="19" fillId="4" borderId="0" xfId="2" applyNumberFormat="1" applyFont="1" applyFill="1" applyAlignment="1" applyProtection="1">
      <alignment horizontal="center"/>
      <protection locked="0"/>
    </xf>
    <xf numFmtId="0" fontId="11" fillId="0" borderId="1" xfId="0" applyFont="1" applyFill="1" applyBorder="1" applyAlignment="1">
      <alignment horizontal="left"/>
    </xf>
    <xf numFmtId="5" fontId="11" fillId="3" borderId="0" xfId="2" applyNumberFormat="1" applyFont="1" applyFill="1" applyAlignment="1">
      <alignment horizontal="center"/>
    </xf>
    <xf numFmtId="6" fontId="11" fillId="3" borderId="0" xfId="2" applyNumberFormat="1" applyFont="1" applyFill="1" applyAlignment="1">
      <alignment horizontal="center"/>
    </xf>
    <xf numFmtId="164" fontId="8" fillId="3" borderId="0" xfId="14" applyNumberFormat="1" applyFont="1" applyFill="1" applyAlignment="1">
      <alignment horizontal="center"/>
    </xf>
    <xf numFmtId="6" fontId="8" fillId="3" borderId="0" xfId="2" applyNumberFormat="1" applyFont="1" applyFill="1" applyAlignment="1">
      <alignment horizontal="center"/>
    </xf>
    <xf numFmtId="9" fontId="8" fillId="3" borderId="0" xfId="14" applyFont="1" applyFill="1" applyAlignment="1">
      <alignment horizontal="center"/>
    </xf>
    <xf numFmtId="9" fontId="8" fillId="3" borderId="0" xfId="0" applyNumberFormat="1" applyFont="1" applyFill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5" xfId="0" applyFont="1" applyFill="1" applyBorder="1"/>
    <xf numFmtId="0" fontId="11" fillId="0" borderId="5" xfId="0" applyFont="1" applyFill="1" applyBorder="1"/>
    <xf numFmtId="0" fontId="8" fillId="0" borderId="0" xfId="0" applyFont="1" applyFill="1" applyAlignment="1" applyProtection="1">
      <alignment horizontal="center"/>
      <protection locked="0"/>
    </xf>
    <xf numFmtId="0" fontId="3" fillId="0" borderId="0" xfId="4" applyFont="1"/>
    <xf numFmtId="0" fontId="8" fillId="0" borderId="1" xfId="0" applyFont="1" applyBorder="1" applyAlignment="1">
      <alignment horizontal="right"/>
    </xf>
    <xf numFmtId="10" fontId="0" fillId="3" borderId="0" xfId="14" applyNumberFormat="1" applyFont="1" applyFill="1" applyAlignment="1">
      <alignment horizontal="center"/>
    </xf>
    <xf numFmtId="1" fontId="0" fillId="3" borderId="0" xfId="14" applyNumberFormat="1" applyFont="1" applyFill="1" applyAlignment="1">
      <alignment horizontal="center"/>
    </xf>
    <xf numFmtId="6" fontId="0" fillId="3" borderId="0" xfId="2" applyNumberFormat="1" applyFont="1" applyFill="1" applyAlignment="1">
      <alignment horizontal="center"/>
    </xf>
    <xf numFmtId="164" fontId="31" fillId="3" borderId="0" xfId="14" applyNumberFormat="1" applyFont="1" applyFill="1" applyAlignment="1">
      <alignment horizontal="center"/>
    </xf>
    <xf numFmtId="9" fontId="0" fillId="3" borderId="0" xfId="14" applyFont="1" applyFill="1" applyAlignment="1">
      <alignment horizontal="center"/>
    </xf>
    <xf numFmtId="164" fontId="31" fillId="3" borderId="0" xfId="2" applyNumberFormat="1" applyFont="1" applyFill="1" applyAlignment="1">
      <alignment horizontal="center"/>
    </xf>
    <xf numFmtId="6" fontId="31" fillId="3" borderId="6" xfId="2" applyNumberFormat="1" applyFont="1" applyFill="1" applyBorder="1" applyAlignment="1">
      <alignment horizontal="center"/>
    </xf>
    <xf numFmtId="37" fontId="16" fillId="2" borderId="0" xfId="13" applyNumberFormat="1" applyFont="1" applyFill="1" applyAlignment="1">
      <alignment horizontal="center"/>
    </xf>
    <xf numFmtId="0" fontId="11" fillId="0" borderId="0" xfId="10" applyFont="1" applyAlignment="1">
      <alignment horizontal="center"/>
    </xf>
    <xf numFmtId="37" fontId="11" fillId="0" borderId="0" xfId="9" applyNumberFormat="1" applyFont="1" applyFill="1" applyAlignment="1">
      <alignment horizontal="center"/>
    </xf>
    <xf numFmtId="168" fontId="8" fillId="3" borderId="0" xfId="0" applyNumberFormat="1" applyFont="1" applyFill="1"/>
    <xf numFmtId="37" fontId="0" fillId="0" borderId="0" xfId="0" applyNumberFormat="1" applyAlignment="1"/>
    <xf numFmtId="38" fontId="0" fillId="0" borderId="0" xfId="1" applyNumberFormat="1" applyFont="1"/>
    <xf numFmtId="37" fontId="8" fillId="3" borderId="0" xfId="7" applyNumberFormat="1" applyFont="1" applyFill="1"/>
    <xf numFmtId="37" fontId="11" fillId="7" borderId="0" xfId="8" applyNumberFormat="1" applyFont="1" applyFill="1" applyAlignment="1">
      <alignment horizontal="left"/>
    </xf>
    <xf numFmtId="0" fontId="8" fillId="5" borderId="0" xfId="7" applyFont="1" applyFill="1"/>
    <xf numFmtId="0" fontId="11" fillId="0" borderId="0" xfId="7" applyFont="1" applyAlignment="1">
      <alignment horizontal="left" indent="1"/>
    </xf>
    <xf numFmtId="164" fontId="0" fillId="3" borderId="0" xfId="0" applyNumberFormat="1" applyFill="1" applyAlignment="1">
      <alignment horizontal="right"/>
    </xf>
    <xf numFmtId="0" fontId="24" fillId="2" borderId="0" xfId="0" applyFont="1" applyFill="1" applyBorder="1" applyProtection="1">
      <protection locked="0"/>
    </xf>
    <xf numFmtId="0" fontId="24" fillId="2" borderId="0" xfId="0" applyFont="1" applyFill="1" applyProtection="1">
      <protection locked="0"/>
    </xf>
    <xf numFmtId="0" fontId="8" fillId="0" borderId="0" xfId="5" applyFont="1" applyFill="1" applyAlignment="1">
      <alignment horizontal="left" indent="1"/>
    </xf>
    <xf numFmtId="37" fontId="11" fillId="7" borderId="0" xfId="8" applyNumberFormat="1" applyFont="1" applyFill="1"/>
    <xf numFmtId="37" fontId="8" fillId="2" borderId="3" xfId="4" applyNumberFormat="1" applyFont="1" applyFill="1" applyBorder="1"/>
    <xf numFmtId="37" fontId="3" fillId="3" borderId="3" xfId="4" applyNumberFormat="1" applyFill="1" applyBorder="1"/>
    <xf numFmtId="37" fontId="29" fillId="2" borderId="3" xfId="8" applyNumberFormat="1" applyFont="1" applyFill="1" applyBorder="1"/>
    <xf numFmtId="37" fontId="8" fillId="2" borderId="1" xfId="0" applyNumberFormat="1" applyFont="1" applyFill="1" applyBorder="1"/>
    <xf numFmtId="1" fontId="8" fillId="5" borderId="0" xfId="13" applyNumberFormat="1" applyFont="1" applyFill="1"/>
    <xf numFmtId="164" fontId="8" fillId="4" borderId="0" xfId="13" applyNumberFormat="1" applyFont="1" applyFill="1"/>
    <xf numFmtId="0" fontId="28" fillId="0" borderId="0" xfId="11" applyFont="1" applyFill="1" applyAlignment="1">
      <alignment horizontal="center"/>
    </xf>
    <xf numFmtId="0" fontId="35" fillId="0" borderId="0" xfId="9" applyFont="1" applyFill="1" applyBorder="1"/>
    <xf numFmtId="4" fontId="6" fillId="0" borderId="0" xfId="0" applyNumberFormat="1" applyFont="1"/>
    <xf numFmtId="0" fontId="6" fillId="0" borderId="0" xfId="0" applyFont="1"/>
    <xf numFmtId="9" fontId="6" fillId="0" borderId="0" xfId="0" applyNumberFormat="1" applyFont="1"/>
    <xf numFmtId="0" fontId="6" fillId="0" borderId="0" xfId="0" applyFont="1" applyProtection="1">
      <protection locked="0"/>
    </xf>
    <xf numFmtId="0" fontId="37" fillId="0" borderId="0" xfId="0" applyFont="1" applyAlignment="1">
      <alignment horizontal="center" vertical="center"/>
    </xf>
    <xf numFmtId="4" fontId="6" fillId="8" borderId="0" xfId="0" applyNumberFormat="1" applyFont="1" applyFill="1"/>
    <xf numFmtId="4" fontId="6" fillId="9" borderId="0" xfId="0" applyNumberFormat="1" applyFont="1" applyFill="1"/>
    <xf numFmtId="0" fontId="6" fillId="9" borderId="0" xfId="0" applyFont="1" applyFill="1"/>
    <xf numFmtId="0" fontId="6" fillId="9" borderId="0" xfId="0" applyFont="1" applyFill="1" applyAlignment="1">
      <alignment horizontal="right"/>
    </xf>
    <xf numFmtId="0" fontId="6" fillId="8" borderId="0" xfId="0" applyFont="1" applyFill="1"/>
    <xf numFmtId="0" fontId="6" fillId="0" borderId="0" xfId="12" applyFont="1" applyAlignment="1">
      <alignment horizontal="left" indent="1"/>
    </xf>
    <xf numFmtId="0" fontId="6" fillId="0" borderId="0" xfId="12" applyFont="1" applyFill="1" applyBorder="1"/>
    <xf numFmtId="37" fontId="6" fillId="2" borderId="0" xfId="9" applyNumberFormat="1" applyFont="1" applyFill="1"/>
    <xf numFmtId="0" fontId="6" fillId="0" borderId="0" xfId="12" applyFont="1" applyAlignment="1">
      <alignment horizontal="left" indent="2"/>
    </xf>
    <xf numFmtId="164" fontId="6" fillId="3" borderId="0" xfId="14" applyNumberFormat="1" applyFont="1" applyFill="1"/>
    <xf numFmtId="0" fontId="6" fillId="0" borderId="0" xfId="9" applyFont="1" applyAlignment="1">
      <alignment horizontal="left" indent="2"/>
    </xf>
    <xf numFmtId="0" fontId="6" fillId="0" borderId="0" xfId="9" applyFont="1" applyAlignment="1">
      <alignment horizontal="left" indent="3"/>
    </xf>
    <xf numFmtId="0" fontId="6" fillId="0" borderId="0" xfId="12" applyFont="1" applyAlignment="1">
      <alignment horizontal="left" indent="3"/>
    </xf>
    <xf numFmtId="0" fontId="6" fillId="0" borderId="0" xfId="5" applyFont="1" applyAlignment="1">
      <alignment horizontal="left" indent="1"/>
    </xf>
    <xf numFmtId="0" fontId="6" fillId="0" borderId="0" xfId="9" applyFont="1" applyFill="1" applyBorder="1"/>
    <xf numFmtId="0" fontId="6" fillId="0" borderId="0" xfId="9" applyFont="1" applyFill="1"/>
    <xf numFmtId="37" fontId="6" fillId="0" borderId="0" xfId="9" applyNumberFormat="1" applyFont="1"/>
    <xf numFmtId="9" fontId="6" fillId="4" borderId="0" xfId="5" applyNumberFormat="1" applyFont="1" applyFill="1" applyAlignment="1">
      <alignment horizontal="center"/>
    </xf>
    <xf numFmtId="37" fontId="6" fillId="5" borderId="0" xfId="9" applyNumberFormat="1" applyFont="1" applyFill="1"/>
    <xf numFmtId="0" fontId="6" fillId="0" borderId="0" xfId="9" applyFont="1" applyAlignment="1">
      <alignment horizontal="left" indent="1"/>
    </xf>
    <xf numFmtId="164" fontId="6" fillId="3" borderId="0" xfId="9" applyNumberFormat="1" applyFont="1" applyFill="1"/>
    <xf numFmtId="37" fontId="6" fillId="5" borderId="4" xfId="9" applyNumberFormat="1" applyFont="1" applyFill="1" applyBorder="1"/>
    <xf numFmtId="164" fontId="6" fillId="0" borderId="0" xfId="9" applyNumberFormat="1" applyFont="1" applyFill="1"/>
    <xf numFmtId="0" fontId="6" fillId="0" borderId="0" xfId="9" applyFont="1" applyAlignment="1">
      <alignment horizontal="left"/>
    </xf>
    <xf numFmtId="0" fontId="6" fillId="0" borderId="0" xfId="11" applyFont="1" applyAlignment="1">
      <alignment horizontal="center"/>
    </xf>
    <xf numFmtId="0" fontId="6" fillId="0" borderId="0" xfId="11" applyFont="1" applyAlignment="1">
      <alignment horizontal="left" indent="1"/>
    </xf>
    <xf numFmtId="37" fontId="6" fillId="5" borderId="0" xfId="9" applyNumberFormat="1" applyFont="1" applyFill="1" applyBorder="1"/>
    <xf numFmtId="0" fontId="6" fillId="0" borderId="0" xfId="11" applyFont="1" applyAlignment="1">
      <alignment horizontal="left" indent="2"/>
    </xf>
    <xf numFmtId="0" fontId="6" fillId="0" borderId="0" xfId="10" applyFont="1" applyAlignment="1">
      <alignment horizontal="left" indent="1"/>
    </xf>
    <xf numFmtId="37" fontId="6" fillId="0" borderId="0" xfId="11" applyNumberFormat="1" applyFont="1"/>
    <xf numFmtId="0" fontId="7" fillId="0" borderId="0" xfId="11" quotePrefix="1" applyFont="1" applyAlignment="1">
      <alignment horizontal="right"/>
    </xf>
    <xf numFmtId="37" fontId="6" fillId="4" borderId="0" xfId="11" applyNumberFormat="1" applyFont="1" applyFill="1"/>
    <xf numFmtId="0" fontId="6" fillId="0" borderId="0" xfId="11" applyFont="1" applyAlignment="1">
      <alignment horizontal="left"/>
    </xf>
    <xf numFmtId="37" fontId="6" fillId="5" borderId="4" xfId="2" applyNumberFormat="1" applyFont="1" applyFill="1" applyBorder="1"/>
    <xf numFmtId="6" fontId="6" fillId="0" borderId="0" xfId="2" applyNumberFormat="1" applyFont="1" applyFill="1" applyBorder="1"/>
    <xf numFmtId="37" fontId="6" fillId="4" borderId="1" xfId="11" applyNumberFormat="1" applyFont="1" applyFill="1" applyBorder="1"/>
    <xf numFmtId="37" fontId="6" fillId="3" borderId="0" xfId="11" applyNumberFormat="1" applyFont="1" applyFill="1"/>
    <xf numFmtId="37" fontId="6" fillId="5" borderId="2" xfId="11" applyNumberFormat="1" applyFont="1" applyFill="1" applyBorder="1"/>
    <xf numFmtId="0" fontId="13" fillId="0" borderId="0" xfId="0" applyFont="1"/>
    <xf numFmtId="0" fontId="36" fillId="0" borderId="0" xfId="0" applyFont="1"/>
    <xf numFmtId="39" fontId="6" fillId="4" borderId="0" xfId="2" applyNumberFormat="1" applyFont="1" applyFill="1" applyProtection="1"/>
    <xf numFmtId="0" fontId="20" fillId="9" borderId="0" xfId="11" applyFont="1" applyFill="1"/>
    <xf numFmtId="0" fontId="6" fillId="9" borderId="0" xfId="11" applyFont="1" applyFill="1"/>
    <xf numFmtId="37" fontId="6" fillId="9" borderId="0" xfId="11" applyNumberFormat="1" applyFont="1" applyFill="1"/>
    <xf numFmtId="37" fontId="6" fillId="10" borderId="0" xfId="11" applyNumberFormat="1" applyFont="1" applyFill="1" applyProtection="1"/>
    <xf numFmtId="37" fontId="6" fillId="10" borderId="0" xfId="11" applyNumberFormat="1" applyFont="1" applyFill="1"/>
    <xf numFmtId="37" fontId="6" fillId="0" borderId="0" xfId="11" applyNumberFormat="1" applyFont="1" applyFill="1"/>
    <xf numFmtId="4" fontId="6" fillId="11" borderId="0" xfId="0" applyNumberFormat="1" applyFont="1" applyFill="1"/>
    <xf numFmtId="0" fontId="6" fillId="0" borderId="0" xfId="6" applyFont="1" applyFill="1" applyBorder="1"/>
    <xf numFmtId="0" fontId="6" fillId="0" borderId="0" xfId="6" applyFont="1"/>
    <xf numFmtId="0" fontId="5" fillId="0" borderId="0" xfId="6" applyFont="1"/>
    <xf numFmtId="0" fontId="7" fillId="0" borderId="0" xfId="6" quotePrefix="1" applyFont="1" applyAlignment="1">
      <alignment horizontal="right"/>
    </xf>
    <xf numFmtId="0" fontId="7" fillId="0" borderId="0" xfId="6" applyFont="1" applyAlignment="1">
      <alignment horizontal="right"/>
    </xf>
    <xf numFmtId="37" fontId="6" fillId="0" borderId="0" xfId="6" applyNumberFormat="1" applyFont="1" applyFill="1"/>
    <xf numFmtId="37" fontId="6" fillId="4" borderId="0" xfId="6" applyNumberFormat="1" applyFont="1" applyFill="1"/>
    <xf numFmtId="0" fontId="6" fillId="0" borderId="0" xfId="6" applyFont="1" applyAlignment="1">
      <alignment horizontal="left" indent="2"/>
    </xf>
    <xf numFmtId="37" fontId="6" fillId="3" borderId="0" xfId="6" applyNumberFormat="1" applyFont="1" applyFill="1"/>
    <xf numFmtId="37" fontId="6" fillId="0" borderId="0" xfId="6" applyNumberFormat="1" applyFont="1"/>
    <xf numFmtId="0" fontId="6" fillId="0" borderId="0" xfId="6" applyFont="1" applyAlignment="1">
      <alignment horizontal="left" indent="1"/>
    </xf>
    <xf numFmtId="37" fontId="6" fillId="3" borderId="1" xfId="6" applyNumberFormat="1" applyFont="1" applyFill="1" applyBorder="1"/>
    <xf numFmtId="37" fontId="6" fillId="5" borderId="2" xfId="6" applyNumberFormat="1" applyFont="1" applyFill="1" applyBorder="1"/>
    <xf numFmtId="37" fontId="6" fillId="4" borderId="1" xfId="6" applyNumberFormat="1" applyFont="1" applyFill="1" applyBorder="1"/>
    <xf numFmtId="37" fontId="6" fillId="4" borderId="2" xfId="6" applyNumberFormat="1" applyFont="1" applyFill="1" applyBorder="1"/>
    <xf numFmtId="0" fontId="6" fillId="0" borderId="0" xfId="5" applyFont="1" applyFill="1"/>
    <xf numFmtId="3" fontId="6" fillId="0" borderId="0" xfId="5" applyNumberFormat="1" applyFont="1"/>
    <xf numFmtId="37" fontId="6" fillId="2" borderId="0" xfId="5" applyNumberFormat="1" applyFont="1" applyFill="1"/>
    <xf numFmtId="3" fontId="6" fillId="0" borderId="0" xfId="5" applyNumberFormat="1" applyFont="1" applyFill="1"/>
    <xf numFmtId="2" fontId="6" fillId="4" borderId="0" xfId="5" applyNumberFormat="1" applyFont="1" applyFill="1"/>
    <xf numFmtId="0" fontId="6" fillId="0" borderId="0" xfId="5" applyFont="1" applyAlignment="1">
      <alignment horizontal="left" indent="2"/>
    </xf>
    <xf numFmtId="37" fontId="6" fillId="4" borderId="0" xfId="5" applyNumberFormat="1" applyFont="1" applyFill="1"/>
    <xf numFmtId="37" fontId="6" fillId="0" borderId="0" xfId="5" applyNumberFormat="1" applyFont="1" applyFill="1"/>
    <xf numFmtId="9" fontId="6" fillId="0" borderId="0" xfId="5" applyNumberFormat="1" applyFont="1"/>
    <xf numFmtId="37" fontId="6" fillId="5" borderId="4" xfId="5" applyNumberFormat="1" applyFont="1" applyFill="1" applyBorder="1"/>
    <xf numFmtId="37" fontId="6" fillId="0" borderId="0" xfId="5" applyNumberFormat="1" applyFont="1"/>
    <xf numFmtId="166" fontId="6" fillId="0" borderId="0" xfId="5" applyNumberFormat="1" applyFont="1"/>
    <xf numFmtId="38" fontId="6" fillId="4" borderId="0" xfId="5" applyNumberFormat="1" applyFont="1" applyFill="1"/>
    <xf numFmtId="38" fontId="6" fillId="4" borderId="1" xfId="5" applyNumberFormat="1" applyFont="1" applyFill="1" applyBorder="1"/>
    <xf numFmtId="37" fontId="6" fillId="10" borderId="1" xfId="1" applyNumberFormat="1" applyFont="1" applyFill="1" applyBorder="1"/>
    <xf numFmtId="4" fontId="6" fillId="0" borderId="0" xfId="0" applyNumberFormat="1" applyFont="1" applyFill="1"/>
    <xf numFmtId="0" fontId="6" fillId="11" borderId="0" xfId="0" applyFont="1" applyFill="1"/>
    <xf numFmtId="37" fontId="6" fillId="3" borderId="3" xfId="11" applyNumberFormat="1" applyFont="1" applyFill="1" applyBorder="1"/>
    <xf numFmtId="4" fontId="6" fillId="2" borderId="0" xfId="9" applyNumberFormat="1" applyFont="1" applyFill="1"/>
    <xf numFmtId="4" fontId="13" fillId="0" borderId="0" xfId="12" applyNumberFormat="1" applyFont="1" applyAlignment="1">
      <alignment horizontal="right"/>
    </xf>
    <xf numFmtId="4" fontId="6" fillId="0" borderId="0" xfId="12" applyNumberFormat="1" applyFont="1"/>
    <xf numFmtId="4" fontId="6" fillId="3" borderId="0" xfId="12" applyNumberFormat="1" applyFont="1" applyFill="1"/>
    <xf numFmtId="4" fontId="6" fillId="0" borderId="0" xfId="12" applyNumberFormat="1" applyFont="1" applyFill="1"/>
    <xf numFmtId="4" fontId="6" fillId="3" borderId="1" xfId="12" applyNumberFormat="1" applyFont="1" applyFill="1" applyBorder="1"/>
    <xf numFmtId="4" fontId="6" fillId="5" borderId="2" xfId="12" applyNumberFormat="1" applyFont="1" applyFill="1" applyBorder="1"/>
    <xf numFmtId="4" fontId="6" fillId="0" borderId="0" xfId="14" applyNumberFormat="1" applyFont="1" applyFill="1"/>
    <xf numFmtId="4" fontId="6" fillId="3" borderId="0" xfId="1" applyNumberFormat="1" applyFont="1" applyFill="1"/>
    <xf numFmtId="4" fontId="6" fillId="3" borderId="0" xfId="12" applyNumberFormat="1" applyFont="1" applyFill="1" applyBorder="1"/>
    <xf numFmtId="4" fontId="6" fillId="6" borderId="0" xfId="12" applyNumberFormat="1" applyFont="1" applyFill="1" applyBorder="1"/>
    <xf numFmtId="4" fontId="6" fillId="4" borderId="0" xfId="12" applyNumberFormat="1" applyFont="1" applyFill="1" applyBorder="1"/>
    <xf numFmtId="10" fontId="6" fillId="4" borderId="0" xfId="12" applyNumberFormat="1" applyFont="1" applyFill="1"/>
    <xf numFmtId="10" fontId="6" fillId="3" borderId="0" xfId="14" applyNumberFormat="1" applyFont="1" applyFill="1"/>
    <xf numFmtId="10" fontId="6" fillId="4" borderId="0" xfId="14" applyNumberFormat="1" applyFont="1" applyFill="1"/>
    <xf numFmtId="37" fontId="6" fillId="10" borderId="0" xfId="9" applyNumberFormat="1" applyFont="1" applyFill="1"/>
    <xf numFmtId="37" fontId="6" fillId="10" borderId="0" xfId="9" applyNumberFormat="1" applyFont="1" applyFill="1" applyBorder="1"/>
    <xf numFmtId="37" fontId="6" fillId="10" borderId="1" xfId="9" applyNumberFormat="1" applyFont="1" applyFill="1" applyBorder="1"/>
    <xf numFmtId="37" fontId="6" fillId="10" borderId="3" xfId="9" applyNumberFormat="1" applyFont="1" applyFill="1" applyBorder="1"/>
    <xf numFmtId="37" fontId="6" fillId="5" borderId="5" xfId="9" applyNumberFormat="1" applyFont="1" applyFill="1" applyBorder="1"/>
    <xf numFmtId="37" fontId="8" fillId="11" borderId="2" xfId="13" applyNumberFormat="1" applyFont="1" applyFill="1" applyBorder="1"/>
    <xf numFmtId="0" fontId="38" fillId="0" borderId="0" xfId="0" applyFont="1" applyFill="1" applyAlignment="1">
      <alignment horizontal="left" vertical="center"/>
    </xf>
    <xf numFmtId="37" fontId="6" fillId="10" borderId="3" xfId="5" applyNumberFormat="1" applyFont="1" applyFill="1" applyBorder="1"/>
    <xf numFmtId="0" fontId="13" fillId="0" borderId="0" xfId="5" applyFont="1" applyAlignment="1">
      <alignment horizontal="left"/>
    </xf>
    <xf numFmtId="37" fontId="6" fillId="5" borderId="0" xfId="5" applyNumberFormat="1" applyFont="1" applyFill="1"/>
    <xf numFmtId="37" fontId="6" fillId="5" borderId="5" xfId="5" applyNumberFormat="1" applyFont="1" applyFill="1" applyBorder="1"/>
    <xf numFmtId="37" fontId="6" fillId="7" borderId="0" xfId="8" applyNumberFormat="1" applyFont="1" applyFill="1"/>
    <xf numFmtId="37" fontId="6" fillId="0" borderId="0" xfId="8" applyNumberFormat="1" applyFont="1" applyBorder="1"/>
    <xf numFmtId="37" fontId="6" fillId="2" borderId="1" xfId="8" applyNumberFormat="1" applyFont="1" applyFill="1" applyBorder="1"/>
    <xf numFmtId="0" fontId="39" fillId="0" borderId="0" xfId="8" applyFont="1"/>
    <xf numFmtId="0" fontId="39" fillId="0" borderId="0" xfId="8" applyFont="1" applyFill="1"/>
    <xf numFmtId="164" fontId="6" fillId="3" borderId="0" xfId="14" applyNumberFormat="1" applyFont="1" applyFill="1" applyBorder="1"/>
    <xf numFmtId="37" fontId="6" fillId="0" borderId="0" xfId="8" applyNumberFormat="1" applyFont="1" applyFill="1" applyBorder="1"/>
    <xf numFmtId="37" fontId="6" fillId="0" borderId="0" xfId="8" applyNumberFormat="1" applyFont="1" applyFill="1"/>
    <xf numFmtId="37" fontId="6" fillId="0" borderId="0" xfId="8" applyNumberFormat="1" applyFont="1"/>
    <xf numFmtId="37" fontId="6" fillId="3" borderId="0" xfId="8" applyNumberFormat="1" applyFont="1" applyFill="1"/>
    <xf numFmtId="9" fontId="6" fillId="0" borderId="0" xfId="8" applyNumberFormat="1" applyFont="1"/>
    <xf numFmtId="164" fontId="6" fillId="3" borderId="0" xfId="8" applyNumberFormat="1" applyFont="1" applyFill="1"/>
    <xf numFmtId="164" fontId="6" fillId="0" borderId="0" xfId="8" applyNumberFormat="1" applyFont="1" applyFill="1"/>
    <xf numFmtId="37" fontId="6" fillId="9" borderId="3" xfId="5" applyNumberFormat="1" applyFont="1" applyFill="1" applyBorder="1"/>
    <xf numFmtId="0" fontId="21" fillId="9" borderId="0" xfId="10" applyFont="1" applyFill="1" applyBorder="1"/>
    <xf numFmtId="37" fontId="3" fillId="4" borderId="0" xfId="10" applyNumberFormat="1" applyFill="1" applyBorder="1"/>
    <xf numFmtId="0" fontId="3" fillId="0" borderId="0" xfId="10" applyFill="1" applyBorder="1"/>
    <xf numFmtId="37" fontId="3" fillId="4" borderId="3" xfId="10" applyNumberFormat="1" applyFill="1" applyBorder="1"/>
    <xf numFmtId="0" fontId="8" fillId="9" borderId="0" xfId="0" applyFont="1" applyFill="1"/>
    <xf numFmtId="0" fontId="3" fillId="8" borderId="0" xfId="10" applyFill="1"/>
    <xf numFmtId="0" fontId="6" fillId="9" borderId="0" xfId="12" applyFont="1" applyFill="1" applyBorder="1"/>
    <xf numFmtId="4" fontId="6" fillId="0" borderId="0" xfId="12" applyNumberFormat="1" applyFont="1" applyFill="1" applyBorder="1"/>
    <xf numFmtId="4" fontId="6" fillId="11" borderId="2" xfId="12" applyNumberFormat="1" applyFont="1" applyFill="1" applyBorder="1"/>
    <xf numFmtId="4" fontId="6" fillId="11" borderId="4" xfId="12" applyNumberFormat="1" applyFont="1" applyFill="1" applyBorder="1"/>
    <xf numFmtId="0" fontId="11" fillId="0" borderId="7" xfId="9" applyFont="1" applyBorder="1"/>
    <xf numFmtId="0" fontId="6" fillId="0" borderId="7" xfId="9" applyFont="1" applyBorder="1"/>
    <xf numFmtId="37" fontId="6" fillId="0" borderId="7" xfId="9" applyNumberFormat="1" applyFont="1" applyBorder="1"/>
    <xf numFmtId="0" fontId="6" fillId="0" borderId="0" xfId="9" applyFont="1" applyBorder="1" applyAlignment="1">
      <alignment horizontal="left" indent="2"/>
    </xf>
    <xf numFmtId="9" fontId="6" fillId="4" borderId="0" xfId="9" applyNumberFormat="1" applyFont="1" applyFill="1" applyBorder="1" applyAlignment="1">
      <alignment horizontal="center"/>
    </xf>
    <xf numFmtId="37" fontId="6" fillId="4" borderId="0" xfId="9" applyNumberFormat="1" applyFont="1" applyFill="1" applyBorder="1"/>
    <xf numFmtId="37" fontId="6" fillId="0" borderId="0" xfId="9" applyNumberFormat="1" applyFont="1" applyFill="1" applyBorder="1"/>
    <xf numFmtId="0" fontId="11" fillId="0" borderId="0" xfId="5" applyFont="1" applyBorder="1" applyAlignment="1">
      <alignment horizontal="left" indent="1"/>
    </xf>
    <xf numFmtId="9" fontId="6" fillId="4" borderId="0" xfId="5" applyNumberFormat="1" applyFont="1" applyFill="1" applyBorder="1" applyAlignment="1">
      <alignment horizontal="center"/>
    </xf>
    <xf numFmtId="0" fontId="11" fillId="0" borderId="0" xfId="9" applyFont="1" applyBorder="1" applyAlignment="1">
      <alignment horizontal="left" indent="1"/>
    </xf>
    <xf numFmtId="0" fontId="6" fillId="0" borderId="1" xfId="9" applyFont="1" applyBorder="1" applyAlignment="1">
      <alignment horizontal="left" indent="1"/>
    </xf>
    <xf numFmtId="164" fontId="6" fillId="10" borderId="1" xfId="9" applyNumberFormat="1" applyFont="1" applyFill="1" applyBorder="1"/>
    <xf numFmtId="164" fontId="6" fillId="3" borderId="1" xfId="9" applyNumberFormat="1" applyFont="1" applyFill="1" applyBorder="1"/>
    <xf numFmtId="0" fontId="6" fillId="0" borderId="0" xfId="9" applyFont="1" applyBorder="1" applyAlignment="1">
      <alignment horizontal="left" indent="1"/>
    </xf>
    <xf numFmtId="164" fontId="6" fillId="0" borderId="0" xfId="9" applyNumberFormat="1" applyFont="1" applyFill="1" applyBorder="1"/>
    <xf numFmtId="37" fontId="6" fillId="5" borderId="3" xfId="9" applyNumberFormat="1" applyFont="1" applyFill="1" applyBorder="1"/>
    <xf numFmtId="0" fontId="6" fillId="0" borderId="0" xfId="9" applyFont="1" applyFill="1" applyBorder="1" applyAlignment="1">
      <alignment horizontal="center"/>
    </xf>
    <xf numFmtId="0" fontId="6" fillId="0" borderId="0" xfId="9" applyFont="1" applyAlignment="1">
      <alignment horizontal="center"/>
    </xf>
    <xf numFmtId="0" fontId="6" fillId="0" borderId="0" xfId="9" quotePrefix="1" applyFont="1" applyAlignment="1">
      <alignment horizontal="center"/>
    </xf>
    <xf numFmtId="37" fontId="6" fillId="0" borderId="0" xfId="9" applyNumberFormat="1" applyFont="1" applyFill="1" applyAlignment="1">
      <alignment horizontal="center"/>
    </xf>
    <xf numFmtId="0" fontId="6" fillId="0" borderId="7" xfId="9" applyFont="1" applyBorder="1" applyAlignment="1">
      <alignment horizontal="center"/>
    </xf>
    <xf numFmtId="0" fontId="6" fillId="0" borderId="0" xfId="9" applyFont="1" applyBorder="1" applyAlignment="1">
      <alignment horizontal="center"/>
    </xf>
    <xf numFmtId="9" fontId="6" fillId="0" borderId="1" xfId="9" applyNumberFormat="1" applyFont="1" applyFill="1" applyBorder="1" applyAlignment="1">
      <alignment horizontal="center"/>
    </xf>
    <xf numFmtId="0" fontId="6" fillId="0" borderId="0" xfId="9" applyFont="1" applyFill="1" applyAlignment="1">
      <alignment horizontal="center"/>
    </xf>
    <xf numFmtId="0" fontId="6" fillId="0" borderId="7" xfId="9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/>
    </xf>
    <xf numFmtId="0" fontId="6" fillId="0" borderId="0" xfId="5" applyFont="1" applyAlignment="1">
      <alignment horizontal="center"/>
    </xf>
    <xf numFmtId="0" fontId="6" fillId="9" borderId="0" xfId="12" applyFont="1" applyFill="1" applyBorder="1" applyAlignment="1">
      <alignment horizontal="center"/>
    </xf>
    <xf numFmtId="0" fontId="6" fillId="0" borderId="0" xfId="12" applyFont="1" applyAlignment="1">
      <alignment horizontal="center"/>
    </xf>
    <xf numFmtId="0" fontId="17" fillId="0" borderId="0" xfId="12" quotePrefix="1" applyFont="1" applyAlignment="1">
      <alignment horizontal="center"/>
    </xf>
    <xf numFmtId="9" fontId="6" fillId="0" borderId="0" xfId="5" applyNumberFormat="1" applyFont="1" applyFill="1" applyAlignment="1">
      <alignment horizontal="center"/>
    </xf>
    <xf numFmtId="37" fontId="6" fillId="0" borderId="0" xfId="12" applyNumberFormat="1" applyFont="1" applyBorder="1" applyAlignment="1">
      <alignment horizontal="center"/>
    </xf>
    <xf numFmtId="37" fontId="6" fillId="0" borderId="0" xfId="12" applyNumberFormat="1" applyFont="1" applyFill="1" applyAlignment="1">
      <alignment horizontal="center"/>
    </xf>
    <xf numFmtId="0" fontId="6" fillId="0" borderId="0" xfId="12" applyFont="1" applyFill="1" applyAlignment="1">
      <alignment horizontal="center"/>
    </xf>
    <xf numFmtId="164" fontId="6" fillId="0" borderId="0" xfId="14" applyNumberFormat="1" applyFont="1" applyFill="1" applyBorder="1" applyAlignment="1">
      <alignment horizontal="center"/>
    </xf>
    <xf numFmtId="164" fontId="6" fillId="0" borderId="0" xfId="14" applyNumberFormat="1" applyFont="1" applyFill="1" applyAlignment="1">
      <alignment horizontal="center"/>
    </xf>
    <xf numFmtId="164" fontId="6" fillId="0" borderId="0" xfId="5" applyNumberFormat="1" applyFont="1" applyFill="1" applyAlignment="1">
      <alignment horizontal="center"/>
    </xf>
    <xf numFmtId="1" fontId="6" fillId="8" borderId="0" xfId="5" applyNumberFormat="1" applyFont="1" applyFill="1" applyAlignment="1">
      <alignment horizontal="center"/>
    </xf>
    <xf numFmtId="4" fontId="20" fillId="2" borderId="0" xfId="12" applyNumberFormat="1" applyFont="1" applyFill="1"/>
    <xf numFmtId="4" fontId="18" fillId="0" borderId="0" xfId="12" applyNumberFormat="1" applyFont="1"/>
    <xf numFmtId="4" fontId="11" fillId="0" borderId="0" xfId="9" applyNumberFormat="1" applyFont="1"/>
    <xf numFmtId="4" fontId="11" fillId="0" borderId="0" xfId="12" applyNumberFormat="1" applyFont="1"/>
    <xf numFmtId="4" fontId="6" fillId="0" borderId="0" xfId="12" applyNumberFormat="1" applyFont="1" applyAlignment="1">
      <alignment horizontal="left" indent="1"/>
    </xf>
    <xf numFmtId="4" fontId="6" fillId="0" borderId="0" xfId="12" applyNumberFormat="1" applyFont="1" applyAlignment="1">
      <alignment horizontal="left" indent="2"/>
    </xf>
    <xf numFmtId="4" fontId="14" fillId="0" borderId="0" xfId="12" applyNumberFormat="1" applyFont="1"/>
    <xf numFmtId="4" fontId="6" fillId="0" borderId="0" xfId="9" applyNumberFormat="1" applyFont="1"/>
    <xf numFmtId="4" fontId="11" fillId="0" borderId="0" xfId="9" applyNumberFormat="1" applyFont="1" applyAlignment="1">
      <alignment horizontal="left"/>
    </xf>
    <xf numFmtId="4" fontId="6" fillId="0" borderId="0" xfId="9" applyNumberFormat="1" applyFont="1" applyAlignment="1">
      <alignment horizontal="left" indent="2"/>
    </xf>
    <xf numFmtId="4" fontId="6" fillId="0" borderId="0" xfId="9" applyNumberFormat="1" applyFont="1" applyAlignment="1">
      <alignment horizontal="left" indent="3"/>
    </xf>
    <xf numFmtId="4" fontId="6" fillId="0" borderId="0" xfId="12" applyNumberFormat="1" applyFont="1" applyAlignment="1">
      <alignment horizontal="left" indent="3"/>
    </xf>
    <xf numFmtId="4" fontId="11" fillId="0" borderId="0" xfId="12" applyNumberFormat="1" applyFont="1" applyAlignment="1">
      <alignment horizontal="left" indent="1"/>
    </xf>
    <xf numFmtId="4" fontId="6" fillId="10" borderId="0" xfId="12" applyNumberFormat="1" applyFont="1" applyFill="1"/>
    <xf numFmtId="4" fontId="6" fillId="10" borderId="1" xfId="12" applyNumberFormat="1" applyFont="1" applyFill="1" applyBorder="1"/>
    <xf numFmtId="4" fontId="6" fillId="10" borderId="0" xfId="14" applyNumberFormat="1" applyFont="1" applyFill="1"/>
    <xf numFmtId="4" fontId="6" fillId="10" borderId="1" xfId="1" applyNumberFormat="1" applyFont="1" applyFill="1" applyBorder="1"/>
    <xf numFmtId="4" fontId="6" fillId="8" borderId="0" xfId="12" applyNumberFormat="1" applyFont="1" applyFill="1" applyAlignment="1">
      <alignment horizontal="left" indent="1"/>
    </xf>
    <xf numFmtId="4" fontId="6" fillId="8" borderId="0" xfId="9" applyNumberFormat="1" applyFont="1" applyFill="1" applyAlignment="1">
      <alignment horizontal="left" indent="2"/>
    </xf>
    <xf numFmtId="37" fontId="6" fillId="8" borderId="0" xfId="9" applyNumberFormat="1" applyFont="1" applyFill="1" applyAlignment="1">
      <alignment horizontal="center"/>
    </xf>
    <xf numFmtId="0" fontId="6" fillId="0" borderId="0" xfId="8" applyFont="1" applyAlignment="1">
      <alignment horizontal="left" indent="1"/>
    </xf>
    <xf numFmtId="38" fontId="6" fillId="5" borderId="3" xfId="5" applyNumberFormat="1" applyFont="1" applyFill="1" applyBorder="1"/>
    <xf numFmtId="37" fontId="8" fillId="3" borderId="7" xfId="8" applyNumberFormat="1" applyFont="1" applyFill="1" applyBorder="1"/>
    <xf numFmtId="37" fontId="3" fillId="9" borderId="0" xfId="8" applyNumberFormat="1" applyFill="1"/>
    <xf numFmtId="37" fontId="6" fillId="4" borderId="0" xfId="10" applyNumberFormat="1" applyFont="1" applyFill="1" applyBorder="1"/>
    <xf numFmtId="1" fontId="8" fillId="5" borderId="0" xfId="14" applyNumberFormat="1" applyFont="1" applyFill="1" applyAlignment="1">
      <alignment horizontal="right"/>
    </xf>
    <xf numFmtId="37" fontId="8" fillId="5" borderId="0" xfId="13" applyNumberFormat="1" applyFont="1" applyFill="1" applyAlignment="1">
      <alignment horizontal="right"/>
    </xf>
    <xf numFmtId="37" fontId="3" fillId="9" borderId="3" xfId="8" applyNumberFormat="1" applyFill="1" applyBorder="1"/>
    <xf numFmtId="0" fontId="6" fillId="0" borderId="0" xfId="4" applyFont="1" applyAlignment="1">
      <alignment horizontal="left" indent="1"/>
    </xf>
    <xf numFmtId="0" fontId="6" fillId="0" borderId="0" xfId="4" applyFont="1" applyAlignment="1">
      <alignment horizontal="left" indent="2"/>
    </xf>
    <xf numFmtId="3" fontId="6" fillId="9" borderId="0" xfId="12" applyNumberFormat="1" applyFont="1" applyFill="1" applyBorder="1"/>
    <xf numFmtId="10" fontId="6" fillId="9" borderId="0" xfId="14" applyNumberFormat="1" applyFont="1" applyFill="1"/>
    <xf numFmtId="37" fontId="8" fillId="7" borderId="1" xfId="8" applyNumberFormat="1" applyFont="1" applyFill="1" applyBorder="1" applyAlignment="1">
      <alignment horizontal="center"/>
    </xf>
    <xf numFmtId="0" fontId="28" fillId="0" borderId="1" xfId="8" applyFont="1" applyBorder="1" applyAlignment="1">
      <alignment horizontal="center"/>
    </xf>
  </cellXfs>
  <cellStyles count="15">
    <cellStyle name="Comma" xfId="1" builtinId="3"/>
    <cellStyle name="Currency" xfId="2" builtinId="4"/>
    <cellStyle name="Normal" xfId="0" builtinId="0"/>
    <cellStyle name="Normal_BALSHT.XLS" xfId="3"/>
    <cellStyle name="Normal_CASHFLOW.XLS" xfId="4"/>
    <cellStyle name="Normal_COG.XLS" xfId="5"/>
    <cellStyle name="Normal_EXTRA.XLS" xfId="6"/>
    <cellStyle name="Normal_FUNDING.XLS" xfId="7"/>
    <cellStyle name="Normal_INCSTMT.XLS" xfId="8"/>
    <cellStyle name="Normal_OPEXP.XLS" xfId="9"/>
    <cellStyle name="Normal_PLANT&amp;EQ.XLS" xfId="10"/>
    <cellStyle name="Normal_REVPROJ.XLS" xfId="11"/>
    <cellStyle name="Normal_SALPERS.XLS" xfId="12"/>
    <cellStyle name="Normal_WORKCAP.XLS" xfId="13"/>
    <cellStyle name="Percent" xfId="14" builtinId="5"/>
  </cellStyles>
  <dxfs count="0"/>
  <tableStyles count="0" defaultTableStyle="TableStyleMedium9" defaultPivotStyle="PivotStyleLight16"/>
  <colors>
    <mruColors>
      <color rgb="FFFF99CC"/>
      <color rgb="FFCCFFFF"/>
      <color rgb="FFCC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336176</xdr:colOff>
      <xdr:row>87</xdr:row>
      <xdr:rowOff>27642</xdr:rowOff>
    </xdr:from>
    <xdr:to>
      <xdr:col>10</xdr:col>
      <xdr:colOff>212538</xdr:colOff>
      <xdr:row>90</xdr:row>
      <xdr:rowOff>0</xdr:rowOff>
    </xdr:to>
    <xdr:sp macro="" textlink="">
      <xdr:nvSpPr>
        <xdr:cNvPr id="6151" name="Text Box 7"/>
        <xdr:cNvSpPr txBox="1">
          <a:spLocks noChangeArrowheads="1"/>
        </xdr:cNvSpPr>
      </xdr:nvSpPr>
      <xdr:spPr bwMode="auto">
        <a:xfrm>
          <a:off x="7567705" y="14550466"/>
          <a:ext cx="1714127" cy="53265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Geneva"/>
            </a:rPr>
            <a:t>Note: total expenses for the year must equal the annual projections above.</a:t>
          </a:r>
        </a:p>
      </xdr:txBody>
    </xdr:sp>
    <xdr:clientData/>
  </xdr:twoCellAnchor>
  <xdr:twoCellAnchor>
    <xdr:from>
      <xdr:col>7</xdr:col>
      <xdr:colOff>336176</xdr:colOff>
      <xdr:row>108</xdr:row>
      <xdr:rowOff>27642</xdr:rowOff>
    </xdr:from>
    <xdr:to>
      <xdr:col>10</xdr:col>
      <xdr:colOff>212538</xdr:colOff>
      <xdr:row>111</xdr:row>
      <xdr:rowOff>0</xdr:rowOff>
    </xdr:to>
    <xdr:sp macro="" textlink="">
      <xdr:nvSpPr>
        <xdr:cNvPr id="9" name="Text Box 7"/>
        <xdr:cNvSpPr txBox="1">
          <a:spLocks noChangeArrowheads="1"/>
        </xdr:cNvSpPr>
      </xdr:nvSpPr>
      <xdr:spPr bwMode="auto">
        <a:xfrm>
          <a:off x="7567705" y="14550466"/>
          <a:ext cx="1714127" cy="450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Geneva"/>
            </a:rPr>
            <a:t>Note: total expenses for the year must equal the annual projections above.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2</xdr:row>
      <xdr:rowOff>95250</xdr:rowOff>
    </xdr:from>
    <xdr:to>
      <xdr:col>16</xdr:col>
      <xdr:colOff>774700</xdr:colOff>
      <xdr:row>3</xdr:row>
      <xdr:rowOff>177800</xdr:rowOff>
    </xdr:to>
    <xdr:sp macro="" textlink="">
      <xdr:nvSpPr>
        <xdr:cNvPr id="8193" name="Text Box 1"/>
        <xdr:cNvSpPr txBox="1">
          <a:spLocks noChangeArrowheads="1"/>
        </xdr:cNvSpPr>
      </xdr:nvSpPr>
      <xdr:spPr bwMode="auto">
        <a:xfrm>
          <a:off x="12484100" y="546100"/>
          <a:ext cx="3257550" cy="279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Geneva"/>
            </a:rPr>
            <a:t>Note: these two columns must be the same</a:t>
          </a:r>
        </a:p>
      </xdr:txBody>
    </xdr:sp>
    <xdr:clientData/>
  </xdr:twoCellAnchor>
  <xdr:twoCellAnchor>
    <xdr:from>
      <xdr:col>7</xdr:col>
      <xdr:colOff>19050</xdr:colOff>
      <xdr:row>72</xdr:row>
      <xdr:rowOff>19050</xdr:rowOff>
    </xdr:from>
    <xdr:to>
      <xdr:col>7</xdr:col>
      <xdr:colOff>19050</xdr:colOff>
      <xdr:row>99</xdr:row>
      <xdr:rowOff>19050</xdr:rowOff>
    </xdr:to>
    <xdr:sp macro="" textlink="">
      <xdr:nvSpPr>
        <xdr:cNvPr id="8199" name="Line 7"/>
        <xdr:cNvSpPr>
          <a:spLocks noChangeShapeType="1"/>
        </xdr:cNvSpPr>
      </xdr:nvSpPr>
      <xdr:spPr bwMode="auto">
        <a:xfrm>
          <a:off x="7600950" y="13360400"/>
          <a:ext cx="0" cy="4826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72</xdr:row>
      <xdr:rowOff>0</xdr:rowOff>
    </xdr:from>
    <xdr:to>
      <xdr:col>12</xdr:col>
      <xdr:colOff>0</xdr:colOff>
      <xdr:row>99</xdr:row>
      <xdr:rowOff>0</xdr:rowOff>
    </xdr:to>
    <xdr:sp macro="" textlink="">
      <xdr:nvSpPr>
        <xdr:cNvPr id="8200" name="Line 8"/>
        <xdr:cNvSpPr>
          <a:spLocks noChangeShapeType="1"/>
        </xdr:cNvSpPr>
      </xdr:nvSpPr>
      <xdr:spPr bwMode="auto">
        <a:xfrm>
          <a:off x="11658600" y="13341350"/>
          <a:ext cx="0" cy="4826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72</xdr:row>
      <xdr:rowOff>0</xdr:rowOff>
    </xdr:from>
    <xdr:to>
      <xdr:col>17</xdr:col>
      <xdr:colOff>0</xdr:colOff>
      <xdr:row>99</xdr:row>
      <xdr:rowOff>0</xdr:rowOff>
    </xdr:to>
    <xdr:sp macro="" textlink="">
      <xdr:nvSpPr>
        <xdr:cNvPr id="8210" name="Line 18"/>
        <xdr:cNvSpPr>
          <a:spLocks noChangeShapeType="1"/>
        </xdr:cNvSpPr>
      </xdr:nvSpPr>
      <xdr:spPr bwMode="auto">
        <a:xfrm>
          <a:off x="15754350" y="13341350"/>
          <a:ext cx="0" cy="4826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457200</xdr:colOff>
      <xdr:row>4</xdr:row>
      <xdr:rowOff>0</xdr:rowOff>
    </xdr:from>
    <xdr:to>
      <xdr:col>14</xdr:col>
      <xdr:colOff>457200</xdr:colOff>
      <xdr:row>6</xdr:row>
      <xdr:rowOff>190500</xdr:rowOff>
    </xdr:to>
    <xdr:sp macro="" textlink="">
      <xdr:nvSpPr>
        <xdr:cNvPr id="8415" name="Line 223"/>
        <xdr:cNvSpPr>
          <a:spLocks noChangeShapeType="1"/>
        </xdr:cNvSpPr>
      </xdr:nvSpPr>
      <xdr:spPr bwMode="auto">
        <a:xfrm>
          <a:off x="13690600" y="844550"/>
          <a:ext cx="0" cy="641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15</xdr:col>
      <xdr:colOff>419100</xdr:colOff>
      <xdr:row>4</xdr:row>
      <xdr:rowOff>0</xdr:rowOff>
    </xdr:from>
    <xdr:to>
      <xdr:col>15</xdr:col>
      <xdr:colOff>419100</xdr:colOff>
      <xdr:row>6</xdr:row>
      <xdr:rowOff>0</xdr:rowOff>
    </xdr:to>
    <xdr:sp macro="" textlink="">
      <xdr:nvSpPr>
        <xdr:cNvPr id="8416" name="Line 224"/>
        <xdr:cNvSpPr>
          <a:spLocks noChangeShapeType="1"/>
        </xdr:cNvSpPr>
      </xdr:nvSpPr>
      <xdr:spPr bwMode="auto">
        <a:xfrm>
          <a:off x="14547850" y="844550"/>
          <a:ext cx="0" cy="450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"/>
  <sheetViews>
    <sheetView tabSelected="1" topLeftCell="A5" zoomScale="115" zoomScaleNormal="115" zoomScalePageLayoutView="115" workbookViewId="0">
      <selection activeCell="B12" sqref="B12"/>
    </sheetView>
  </sheetViews>
  <sheetFormatPr baseColWidth="10" defaultColWidth="8.7109375" defaultRowHeight="12" x14ac:dyDescent="0"/>
  <cols>
    <col min="1" max="1" width="18.5703125" style="395" customWidth="1"/>
    <col min="2" max="2" width="15.5703125" style="394" customWidth="1"/>
    <col min="3" max="3" width="11.5703125" style="395" bestFit="1" customWidth="1"/>
    <col min="4" max="4" width="8.42578125" style="395" customWidth="1"/>
    <col min="5" max="5" width="7.7109375" style="395" bestFit="1" customWidth="1"/>
    <col min="6" max="6" width="9.85546875" style="395" customWidth="1"/>
    <col min="7" max="9" width="8.7109375" style="395"/>
    <col min="10" max="10" width="8.85546875" style="398" bestFit="1" customWidth="1"/>
    <col min="11" max="11" width="15.5703125" style="398" bestFit="1" customWidth="1"/>
    <col min="12" max="12" width="16.42578125" style="398" bestFit="1" customWidth="1"/>
    <col min="13" max="13" width="21" style="398" bestFit="1" customWidth="1"/>
    <col min="14" max="14" width="20.5703125" style="398" bestFit="1" customWidth="1"/>
    <col min="15" max="16384" width="8.7109375" style="395"/>
  </cols>
  <sheetData>
    <row r="1" spans="1:6">
      <c r="A1" s="395" t="s">
        <v>394</v>
      </c>
    </row>
    <row r="2" spans="1:6" ht="21" customHeight="1">
      <c r="A2" s="501" t="s">
        <v>360</v>
      </c>
      <c r="B2" s="477"/>
    </row>
    <row r="4" spans="1:6">
      <c r="A4" s="437" t="s">
        <v>359</v>
      </c>
    </row>
    <row r="5" spans="1:6">
      <c r="A5" s="395" t="s">
        <v>325</v>
      </c>
      <c r="B5" s="400">
        <v>2</v>
      </c>
      <c r="C5" s="395" t="s">
        <v>326</v>
      </c>
      <c r="D5" s="401">
        <v>100</v>
      </c>
      <c r="E5" s="395" t="s">
        <v>253</v>
      </c>
    </row>
    <row r="6" spans="1:6">
      <c r="A6" s="395" t="s">
        <v>327</v>
      </c>
      <c r="B6" s="400">
        <v>1</v>
      </c>
      <c r="C6" s="395" t="s">
        <v>326</v>
      </c>
      <c r="D6" s="402">
        <v>0.2</v>
      </c>
      <c r="E6" s="315" t="s">
        <v>328</v>
      </c>
    </row>
    <row r="7" spans="1:6">
      <c r="A7" s="395" t="s">
        <v>382</v>
      </c>
      <c r="B7" s="399">
        <v>1.5</v>
      </c>
      <c r="C7" s="395" t="s">
        <v>326</v>
      </c>
    </row>
    <row r="9" spans="1:6">
      <c r="A9" s="395" t="s">
        <v>329</v>
      </c>
      <c r="B9" s="399">
        <v>2400</v>
      </c>
      <c r="C9" s="395" t="s">
        <v>328</v>
      </c>
      <c r="D9" s="396"/>
      <c r="E9" s="395" t="s">
        <v>330</v>
      </c>
      <c r="F9" s="403">
        <f>167/372</f>
        <v>0.44892473118279569</v>
      </c>
    </row>
    <row r="10" spans="1:6">
      <c r="A10" s="395" t="s">
        <v>327</v>
      </c>
      <c r="B10" s="394">
        <f>F9*B9</f>
        <v>1077.4193548387098</v>
      </c>
      <c r="C10" s="395" t="s">
        <v>328</v>
      </c>
    </row>
    <row r="11" spans="1:6">
      <c r="A11" s="395" t="s">
        <v>336</v>
      </c>
      <c r="B11" s="394">
        <v>285000</v>
      </c>
      <c r="C11" s="395" t="s">
        <v>253</v>
      </c>
    </row>
    <row r="13" spans="1:6">
      <c r="A13" s="395" t="s">
        <v>337</v>
      </c>
      <c r="B13" s="394">
        <f>ROUNDUP(B10*1/6, 2)</f>
        <v>179.57</v>
      </c>
      <c r="C13" s="395" t="s">
        <v>328</v>
      </c>
    </row>
    <row r="14" spans="1:6">
      <c r="A14" s="395" t="s">
        <v>338</v>
      </c>
      <c r="B14" s="394">
        <f>ROUNDUP(B10*5/6,2)</f>
        <v>897.85</v>
      </c>
      <c r="C14" s="395" t="s">
        <v>328</v>
      </c>
    </row>
    <row r="16" spans="1:6">
      <c r="A16" s="437" t="s">
        <v>358</v>
      </c>
    </row>
    <row r="17" spans="1:6">
      <c r="A17" s="395" t="s">
        <v>331</v>
      </c>
      <c r="B17" s="394">
        <f>B6*B10/D6</f>
        <v>5387.0967741935483</v>
      </c>
      <c r="C17" s="395" t="s">
        <v>449</v>
      </c>
    </row>
    <row r="18" spans="1:6">
      <c r="B18" s="446">
        <f>B17*2</f>
        <v>10774.193548387097</v>
      </c>
      <c r="C18" s="478" t="s">
        <v>366</v>
      </c>
    </row>
    <row r="20" spans="1:6">
      <c r="A20" s="395" t="s">
        <v>332</v>
      </c>
      <c r="B20" s="394">
        <f>B17*D5/B5</f>
        <v>269354.83870967739</v>
      </c>
      <c r="C20" s="395" t="s">
        <v>253</v>
      </c>
      <c r="D20" s="395">
        <f>B20/5000</f>
        <v>53.87096774193548</v>
      </c>
      <c r="E20" s="395" t="s">
        <v>333</v>
      </c>
      <c r="F20" s="395" t="s">
        <v>334</v>
      </c>
    </row>
    <row r="21" spans="1:6">
      <c r="A21" s="395" t="s">
        <v>367</v>
      </c>
      <c r="B21" s="394">
        <f>B17/B7</f>
        <v>3591.3978494623657</v>
      </c>
      <c r="C21" s="395" t="s">
        <v>335</v>
      </c>
    </row>
    <row r="22" spans="1:6">
      <c r="A22" s="395" t="s">
        <v>379</v>
      </c>
      <c r="B22" s="446">
        <f>0.02*B10*365</f>
        <v>7865.1612903225814</v>
      </c>
      <c r="C22" s="478" t="s">
        <v>366</v>
      </c>
      <c r="D22" s="395">
        <v>2</v>
      </c>
      <c r="E22" s="395" t="s">
        <v>381</v>
      </c>
    </row>
    <row r="23" spans="1:6">
      <c r="B23" s="477"/>
    </row>
    <row r="24" spans="1:6">
      <c r="A24" s="395" t="s">
        <v>388</v>
      </c>
      <c r="B24" s="399">
        <v>1</v>
      </c>
      <c r="C24" s="395" t="s">
        <v>368</v>
      </c>
    </row>
    <row r="25" spans="1:6">
      <c r="A25" s="395" t="s">
        <v>389</v>
      </c>
      <c r="B25" s="399">
        <v>500</v>
      </c>
      <c r="C25" s="395" t="s">
        <v>368</v>
      </c>
    </row>
    <row r="26" spans="1:6">
      <c r="B26" s="477"/>
    </row>
    <row r="27" spans="1:6">
      <c r="A27" s="438" t="s">
        <v>361</v>
      </c>
    </row>
    <row r="28" spans="1:6">
      <c r="A28" s="395" t="s">
        <v>339</v>
      </c>
      <c r="B28" s="399">
        <v>30</v>
      </c>
      <c r="C28" s="395" t="s">
        <v>340</v>
      </c>
      <c r="D28" s="395" t="s">
        <v>341</v>
      </c>
    </row>
    <row r="29" spans="1:6">
      <c r="A29" s="395" t="s">
        <v>342</v>
      </c>
      <c r="B29" s="399">
        <v>6</v>
      </c>
      <c r="C29" s="395" t="s">
        <v>340</v>
      </c>
      <c r="D29" s="395" t="s">
        <v>343</v>
      </c>
    </row>
    <row r="31" spans="1:6">
      <c r="A31" s="395" t="s">
        <v>344</v>
      </c>
      <c r="B31" s="394">
        <f>B28*B14</f>
        <v>26935.5</v>
      </c>
      <c r="C31" s="395" t="s">
        <v>345</v>
      </c>
    </row>
    <row r="32" spans="1:6">
      <c r="A32" s="395" t="s">
        <v>346</v>
      </c>
      <c r="B32" s="394">
        <f>1.3*B31</f>
        <v>35016.15</v>
      </c>
      <c r="C32" s="397" t="s">
        <v>347</v>
      </c>
    </row>
    <row r="33" spans="1:3">
      <c r="B33" s="446">
        <f>12*B32</f>
        <v>420193.80000000005</v>
      </c>
      <c r="C33" s="478" t="s">
        <v>348</v>
      </c>
    </row>
    <row r="35" spans="1:3">
      <c r="A35" s="395" t="s">
        <v>349</v>
      </c>
      <c r="B35" s="394">
        <f>B29*B13</f>
        <v>1077.42</v>
      </c>
      <c r="C35" s="395" t="s">
        <v>345</v>
      </c>
    </row>
    <row r="36" spans="1:3">
      <c r="A36" s="478" t="s">
        <v>346</v>
      </c>
      <c r="B36" s="446">
        <f>170*B35</f>
        <v>183161.40000000002</v>
      </c>
      <c r="C36" s="478" t="s">
        <v>350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H44"/>
  <sheetViews>
    <sheetView zoomScale="115" zoomScaleNormal="115" zoomScalePageLayoutView="115" workbookViewId="0">
      <selection activeCell="C10" sqref="C10"/>
    </sheetView>
  </sheetViews>
  <sheetFormatPr baseColWidth="10" defaultColWidth="11.42578125" defaultRowHeight="13" x14ac:dyDescent="0"/>
  <cols>
    <col min="1" max="1" width="32.5703125" customWidth="1"/>
    <col min="2" max="2" width="11.140625" customWidth="1"/>
    <col min="3" max="7" width="11.42578125" customWidth="1"/>
    <col min="8" max="8" width="14.28515625" customWidth="1"/>
  </cols>
  <sheetData>
    <row r="1" spans="1:7" ht="18">
      <c r="A1" s="176" t="str">
        <f>EXTRA!A1</f>
        <v>AQUAPONICS FARMING</v>
      </c>
      <c r="B1" s="524"/>
      <c r="C1" s="73"/>
      <c r="D1" s="30"/>
      <c r="E1" s="30"/>
      <c r="F1" s="30"/>
      <c r="G1" s="30"/>
    </row>
    <row r="2" spans="1:7" s="59" customFormat="1" ht="16">
      <c r="A2" s="175" t="s">
        <v>72</v>
      </c>
      <c r="B2" s="100"/>
      <c r="C2" s="100"/>
      <c r="D2" s="100"/>
      <c r="E2" s="100"/>
      <c r="F2" s="100"/>
      <c r="G2" s="100"/>
    </row>
    <row r="3" spans="1:7" s="59" customFormat="1" ht="16">
      <c r="A3" s="175" t="s">
        <v>53</v>
      </c>
      <c r="B3" s="100"/>
      <c r="C3" s="100"/>
      <c r="D3" s="100"/>
      <c r="E3" s="100"/>
      <c r="F3" s="100"/>
      <c r="G3" s="100"/>
    </row>
    <row r="4" spans="1:7" ht="15">
      <c r="A4" s="100"/>
      <c r="B4" s="30"/>
      <c r="C4" s="30"/>
      <c r="D4" s="30"/>
      <c r="E4" s="30"/>
      <c r="F4" s="30"/>
      <c r="G4" s="30"/>
    </row>
    <row r="5" spans="1:7" s="59" customFormat="1" ht="16">
      <c r="A5" s="100"/>
      <c r="B5" s="284"/>
      <c r="C5" s="101" t="s">
        <v>54</v>
      </c>
      <c r="D5" s="101" t="s">
        <v>55</v>
      </c>
      <c r="E5" s="101" t="s">
        <v>56</v>
      </c>
      <c r="F5" s="101" t="s">
        <v>57</v>
      </c>
      <c r="G5" s="101" t="s">
        <v>58</v>
      </c>
    </row>
    <row r="6" spans="1:7">
      <c r="A6" s="75" t="s">
        <v>114</v>
      </c>
      <c r="B6" s="73"/>
      <c r="C6" s="30"/>
      <c r="D6" s="30"/>
      <c r="E6" s="30"/>
      <c r="F6" s="30"/>
      <c r="G6" s="30"/>
    </row>
    <row r="7" spans="1:7">
      <c r="A7" s="318" t="s">
        <v>2</v>
      </c>
      <c r="B7" s="73"/>
      <c r="C7" s="77">
        <f>'NET PROFIT'!C7</f>
        <v>810866.26619354845</v>
      </c>
      <c r="D7" s="77">
        <f>'NET PROFIT'!D7</f>
        <v>932307.66149354842</v>
      </c>
      <c r="E7" s="77">
        <f>'NET PROFIT'!E7</f>
        <v>1038115.6925935483</v>
      </c>
      <c r="F7" s="77">
        <f>'NET PROFIT'!F7</f>
        <v>1064437.0631935485</v>
      </c>
      <c r="G7" s="77">
        <f>'NET PROFIT'!G7</f>
        <v>1094486.3069935483</v>
      </c>
    </row>
    <row r="8" spans="1:7">
      <c r="A8" s="74" t="s">
        <v>62</v>
      </c>
      <c r="B8" s="285"/>
      <c r="C8" s="77">
        <f>'NET PROFIT'!C12</f>
        <v>699971.74069290329</v>
      </c>
      <c r="D8" s="77">
        <f>'NET PROFIT'!D12</f>
        <v>799770.83883990324</v>
      </c>
      <c r="E8" s="77">
        <f>'NET PROFIT'!E12</f>
        <v>884092.90642890322</v>
      </c>
      <c r="F8" s="77">
        <f>'NET PROFIT'!F12</f>
        <v>889723.18012290332</v>
      </c>
      <c r="G8" s="77">
        <f>'NET PROFIT'!G12</f>
        <v>899044.04828490317</v>
      </c>
    </row>
    <row r="9" spans="1:7">
      <c r="A9" s="74" t="s">
        <v>3</v>
      </c>
      <c r="B9" s="285"/>
      <c r="C9" s="77">
        <f>'NET PROFIT'!C33</f>
        <v>165945.53648043028</v>
      </c>
      <c r="D9" s="77">
        <f>'NET PROFIT'!D33</f>
        <v>294774.29090943001</v>
      </c>
      <c r="E9" s="77">
        <f>'NET PROFIT'!E33</f>
        <v>390536.08083243005</v>
      </c>
      <c r="F9" s="77">
        <f>'NET PROFIT'!F33</f>
        <v>411715.35674043023</v>
      </c>
      <c r="G9" s="77">
        <f>'NET PROFIT'!G33</f>
        <v>435536.65503692999</v>
      </c>
    </row>
    <row r="10" spans="1:7">
      <c r="A10" s="596" t="s">
        <v>447</v>
      </c>
      <c r="B10" s="73"/>
      <c r="C10" s="77">
        <f>CASHFLOW!C12</f>
        <v>90778.23360428834</v>
      </c>
      <c r="D10" s="77">
        <f>CASHFLOW!D12</f>
        <v>298288.77211068291</v>
      </c>
      <c r="E10" s="77">
        <f>CASHFLOW!E12</f>
        <v>372872.93739118747</v>
      </c>
      <c r="F10" s="77">
        <f>CASHFLOW!F12</f>
        <v>401990.00376641733</v>
      </c>
      <c r="G10" s="77">
        <f>CASHFLOW!G12</f>
        <v>415200.2909245058</v>
      </c>
    </row>
    <row r="11" spans="1:7">
      <c r="A11" s="74" t="s">
        <v>1</v>
      </c>
      <c r="B11" s="73"/>
      <c r="C11" s="77">
        <f>'PROP &amp; EQUIP'!C20</f>
        <v>166000</v>
      </c>
      <c r="D11" s="77">
        <f>'PROP &amp; EQUIP'!D20</f>
        <v>11000</v>
      </c>
      <c r="E11" s="77">
        <f>'PROP &amp; EQUIP'!E20</f>
        <v>14000</v>
      </c>
      <c r="F11" s="77">
        <f>'PROP &amp; EQUIP'!F20</f>
        <v>11000</v>
      </c>
      <c r="G11" s="77">
        <f>'PROP &amp; EQUIP'!G20</f>
        <v>16000</v>
      </c>
    </row>
    <row r="12" spans="1:7">
      <c r="A12" s="74" t="s">
        <v>189</v>
      </c>
      <c r="B12" s="73"/>
      <c r="C12" s="77">
        <f>FUNDING!C45-FUNDING!C41</f>
        <v>0</v>
      </c>
      <c r="D12" s="77">
        <f>FUNDING!D45-FUNDING!D41</f>
        <v>0</v>
      </c>
      <c r="E12" s="77">
        <f>FUNDING!E45-FUNDING!E41</f>
        <v>0</v>
      </c>
      <c r="F12" s="77">
        <f>FUNDING!F45-FUNDING!F41</f>
        <v>0</v>
      </c>
      <c r="G12" s="77">
        <f>FUNDING!G45-FUNDING!G41</f>
        <v>0</v>
      </c>
    </row>
    <row r="13" spans="1:7">
      <c r="A13" s="74" t="s">
        <v>65</v>
      </c>
      <c r="B13" s="73"/>
      <c r="C13" s="77">
        <f>FUNDING!C49</f>
        <v>0</v>
      </c>
      <c r="D13" s="77">
        <f>FUNDING!D49</f>
        <v>0</v>
      </c>
      <c r="E13" s="77">
        <f>FUNDING!E49</f>
        <v>0</v>
      </c>
      <c r="F13" s="77">
        <f>FUNDING!F49</f>
        <v>0</v>
      </c>
      <c r="G13" s="77">
        <f>FUNDING!G49</f>
        <v>0</v>
      </c>
    </row>
    <row r="14" spans="1:7">
      <c r="A14" s="74" t="s">
        <v>66</v>
      </c>
      <c r="B14" s="73"/>
      <c r="C14" s="77">
        <f>'BALANCE SHEET'!C9</f>
        <v>924778.23360428831</v>
      </c>
      <c r="D14" s="77">
        <f>'BALANCE SHEET'!D9</f>
        <v>1212067.0057149711</v>
      </c>
      <c r="E14" s="77">
        <f>'BALANCE SHEET'!E9</f>
        <v>1570939.9431061586</v>
      </c>
      <c r="F14" s="77">
        <f>'BALANCE SHEET'!F9</f>
        <v>1961929.9468725759</v>
      </c>
      <c r="G14" s="77">
        <f>'BALANCE SHEET'!G9</f>
        <v>2361130.2377970815</v>
      </c>
    </row>
    <row r="15" spans="1:7">
      <c r="A15" s="74" t="s">
        <v>67</v>
      </c>
      <c r="B15" s="73"/>
      <c r="C15" s="77">
        <f>FUNDING!C52+FUNDING!C8+FUNDING!C10</f>
        <v>165945.53648043028</v>
      </c>
      <c r="D15" s="77">
        <f>FUNDING!D52+FUNDING!D8+FUNDING!D10</f>
        <v>460719.82738986029</v>
      </c>
      <c r="E15" s="77">
        <f>FUNDING!E52+FUNDING!E8+FUNDING!E10</f>
        <v>851255.90822229034</v>
      </c>
      <c r="F15" s="77">
        <f>FUNDING!F52+FUNDING!F8+FUNDING!F10</f>
        <v>1262971.2649627207</v>
      </c>
      <c r="G15" s="77">
        <f>FUNDING!G52+FUNDING!G8+FUNDING!G10</f>
        <v>1698507.9199996507</v>
      </c>
    </row>
    <row r="16" spans="1:7">
      <c r="A16" s="74" t="s">
        <v>68</v>
      </c>
      <c r="B16" s="73"/>
      <c r="C16" s="77">
        <f>FUNDING!C24</f>
        <v>0</v>
      </c>
      <c r="D16" s="77">
        <f>FUNDING!D24</f>
        <v>0</v>
      </c>
      <c r="E16" s="77">
        <f>FUNDING!E24</f>
        <v>0</v>
      </c>
      <c r="F16" s="77">
        <f>FUNDING!F24</f>
        <v>0</v>
      </c>
      <c r="G16" s="77">
        <f>FUNDING!G24</f>
        <v>0</v>
      </c>
    </row>
    <row r="17" spans="1:7">
      <c r="A17" s="30"/>
      <c r="B17" s="73"/>
      <c r="C17" s="102"/>
      <c r="D17" s="102"/>
      <c r="E17" s="102"/>
      <c r="F17" s="102"/>
      <c r="G17" s="102"/>
    </row>
    <row r="18" spans="1:7">
      <c r="A18" s="75" t="s">
        <v>115</v>
      </c>
      <c r="B18" s="73"/>
      <c r="C18" s="103"/>
      <c r="D18" s="103"/>
      <c r="E18" s="103"/>
      <c r="F18" s="103"/>
      <c r="G18" s="103"/>
    </row>
    <row r="19" spans="1:7">
      <c r="A19" s="30" t="s">
        <v>52</v>
      </c>
      <c r="B19" s="73"/>
      <c r="C19" s="80"/>
      <c r="D19" s="179">
        <f>D7/C7-1</f>
        <v>0.14976747752756148</v>
      </c>
      <c r="E19" s="67">
        <f>E7/D7-1</f>
        <v>0.1134904661520173</v>
      </c>
      <c r="F19" s="179">
        <f>F7/E7-1</f>
        <v>2.5354949152382789E-2</v>
      </c>
      <c r="G19" s="179">
        <f>G7/F7-1</f>
        <v>2.8230174276199449E-2</v>
      </c>
    </row>
    <row r="20" spans="1:7">
      <c r="A20" s="30" t="s">
        <v>70</v>
      </c>
      <c r="B20" s="73"/>
      <c r="C20" s="80"/>
      <c r="D20" s="381">
        <f>IF(('NET PROFIT'!D33/'NET PROFIT'!C33-1)&gt;0,('NET PROFIT'!D33/'NET PROFIT'!C33-1),"Nil")</f>
        <v>0.77633154323612863</v>
      </c>
      <c r="E20" s="381">
        <f>IF(('NET PROFIT'!E33/'NET PROFIT'!D33-1)&gt;0,('NET PROFIT'!E33/'NET PROFIT'!D33-1),"Nil")</f>
        <v>0.32486479613794761</v>
      </c>
      <c r="F20" s="381">
        <f>IF(('NET PROFIT'!F33/'NET PROFIT'!E33-1)&gt;0,('NET PROFIT'!F33/'NET PROFIT'!E33-1),"Nil")</f>
        <v>5.4231291159721806E-2</v>
      </c>
      <c r="G20" s="381">
        <f>IF(('NET PROFIT'!G33/'NET PROFIT'!F33-1)&gt;0,('NET PROFIT'!G33/'NET PROFIT'!F33-1),"Nil")</f>
        <v>5.7858658674026842E-2</v>
      </c>
    </row>
    <row r="21" spans="1:7">
      <c r="A21" s="30"/>
      <c r="B21" s="73"/>
      <c r="C21" s="104"/>
      <c r="D21" s="104"/>
      <c r="E21" s="104"/>
      <c r="F21" s="104"/>
      <c r="G21" s="104"/>
    </row>
    <row r="22" spans="1:7">
      <c r="A22" s="75" t="s">
        <v>116</v>
      </c>
      <c r="B22" s="80"/>
      <c r="C22" s="104"/>
      <c r="D22" s="104"/>
      <c r="E22" s="104"/>
      <c r="F22" s="104"/>
      <c r="G22" s="104"/>
    </row>
    <row r="23" spans="1:7">
      <c r="A23" s="30" t="s">
        <v>113</v>
      </c>
      <c r="B23" s="286"/>
      <c r="C23" s="105">
        <f>'BALANCE SHEET'!C11/'BALANCE SHEET'!C20</f>
        <v>17.267494219855632</v>
      </c>
      <c r="D23" s="105">
        <f>'BALANCE SHEET'!D11/'BALANCE SHEET'!D20</f>
        <v>27.77126813066829</v>
      </c>
      <c r="E23" s="105">
        <f>'BALANCE SHEET'!E11/'BALANCE SHEET'!E20</f>
        <v>32.001209400359755</v>
      </c>
      <c r="F23" s="105">
        <f>'BALANCE SHEET'!F11/'BALANCE SHEET'!F20</f>
        <v>41.159056134484437</v>
      </c>
      <c r="G23" s="105">
        <f>'BALANCE SHEET'!G11/'BALANCE SHEET'!G20</f>
        <v>43.39891255005022</v>
      </c>
    </row>
    <row r="24" spans="1:7">
      <c r="A24" s="30" t="s">
        <v>93</v>
      </c>
      <c r="B24" s="286"/>
      <c r="C24" s="105">
        <f>('BALANCE SHEET'!C22+'BALANCE SHEET'!C19)/('BALANCE SHEET'!C22+'BALANCE SHEET'!C19+'BALANCE SHEET'!C28)</f>
        <v>0</v>
      </c>
      <c r="D24" s="105">
        <f>('BALANCE SHEET'!D22+'BALANCE SHEET'!D19)/('BALANCE SHEET'!D22+'BALANCE SHEET'!D19+'BALANCE SHEET'!D28)</f>
        <v>0</v>
      </c>
      <c r="E24" s="105">
        <f>('BALANCE SHEET'!E22+'BALANCE SHEET'!E19)/('BALANCE SHEET'!E22+'BALANCE SHEET'!E19+'BALANCE SHEET'!E28)</f>
        <v>0</v>
      </c>
      <c r="F24" s="105">
        <f>('BALANCE SHEET'!F22+'BALANCE SHEET'!F19)/('BALANCE SHEET'!F22+'BALANCE SHEET'!F19+'BALANCE SHEET'!F28)</f>
        <v>0</v>
      </c>
      <c r="G24" s="105">
        <f>('BALANCE SHEET'!G22+'BALANCE SHEET'!G19)/('BALANCE SHEET'!G22+'BALANCE SHEET'!G19+'BALANCE SHEET'!G28)</f>
        <v>0</v>
      </c>
    </row>
    <row r="25" spans="1:7">
      <c r="A25" s="30"/>
      <c r="B25" s="73"/>
      <c r="C25" s="30"/>
      <c r="D25" s="30"/>
      <c r="E25" s="30"/>
      <c r="F25" s="30"/>
      <c r="G25" s="30"/>
    </row>
    <row r="26" spans="1:7">
      <c r="A26" s="75" t="s">
        <v>117</v>
      </c>
      <c r="B26" s="73"/>
      <c r="C26" s="30"/>
      <c r="D26" s="30"/>
      <c r="E26" s="30"/>
      <c r="F26" s="30"/>
      <c r="G26" s="30"/>
    </row>
    <row r="27" spans="1:7">
      <c r="A27" s="74" t="s">
        <v>42</v>
      </c>
      <c r="B27" s="287"/>
      <c r="C27" s="106">
        <f>'NET PROFIT'!C13</f>
        <v>0.8632394389506205</v>
      </c>
      <c r="D27" s="106">
        <f>'NET PROFIT'!D13</f>
        <v>0.85784003700953992</v>
      </c>
      <c r="E27" s="106">
        <f>'NET PROFIT'!E13</f>
        <v>0.8516323495892385</v>
      </c>
      <c r="F27" s="106">
        <f>'NET PROFIT'!F13</f>
        <v>0.83586264598259619</v>
      </c>
      <c r="G27" s="106">
        <f>'NET PROFIT'!G13</f>
        <v>0.8214301472208394</v>
      </c>
    </row>
    <row r="28" spans="1:7">
      <c r="A28" s="74" t="s">
        <v>64</v>
      </c>
      <c r="B28" s="287"/>
      <c r="C28" s="107">
        <f>'NET PROFIT'!C23</f>
        <v>0.78597514323156448</v>
      </c>
      <c r="D28" s="107">
        <f>'NET PROFIT'!D23</f>
        <v>0.67888895128263227</v>
      </c>
      <c r="E28" s="107">
        <f>'NET PROFIT'!E23</f>
        <v>0.6193718256534082</v>
      </c>
      <c r="F28" s="107">
        <f>'NET PROFIT'!F23</f>
        <v>0.60888682747348977</v>
      </c>
      <c r="G28" s="107">
        <f>'NET PROFIT'!G23</f>
        <v>0.59786006254756696</v>
      </c>
    </row>
    <row r="29" spans="1:7">
      <c r="A29" s="74" t="s">
        <v>71</v>
      </c>
      <c r="B29" s="287"/>
      <c r="C29" s="67">
        <f>C9/C7</f>
        <v>0.20465216448012918</v>
      </c>
      <c r="D29" s="67">
        <f>D9/D7</f>
        <v>0.31617705515495204</v>
      </c>
      <c r="E29" s="67">
        <f>E9/E7</f>
        <v>0.37619706899598521</v>
      </c>
      <c r="F29" s="67">
        <f>F9/F7</f>
        <v>0.38679163942787975</v>
      </c>
      <c r="G29" s="67">
        <f>G9/G7</f>
        <v>0.39793705252769085</v>
      </c>
    </row>
    <row r="30" spans="1:7">
      <c r="A30" s="30"/>
      <c r="B30" s="73"/>
      <c r="C30" s="30"/>
      <c r="D30" s="30"/>
      <c r="E30" s="30"/>
      <c r="F30" s="30"/>
      <c r="G30" s="30"/>
    </row>
    <row r="31" spans="1:7">
      <c r="A31" s="75" t="s">
        <v>118</v>
      </c>
      <c r="B31" s="73"/>
      <c r="C31" s="30"/>
      <c r="D31" s="30"/>
      <c r="E31" s="30"/>
      <c r="F31" s="30"/>
      <c r="G31" s="30"/>
    </row>
    <row r="32" spans="1:7">
      <c r="A32" s="74" t="s">
        <v>69</v>
      </c>
      <c r="B32" s="287"/>
      <c r="C32" s="107">
        <f>'NET PROFIT'!C33/'BALANCE SHEET'!C13</f>
        <v>0.15700836092054962</v>
      </c>
      <c r="D32" s="107">
        <f>'NET PROFIT'!D33/'BALANCE SHEET'!D13</f>
        <v>0.22349589605327835</v>
      </c>
      <c r="E32" s="107">
        <f>'NET PROFIT'!E33/'BALANCE SHEET'!E13</f>
        <v>0.23172591054415001</v>
      </c>
      <c r="F32" s="107">
        <f>'NET PROFIT'!F33/'BALANCE SHEET'!F13</f>
        <v>0.19823742995054716</v>
      </c>
      <c r="G32" s="107">
        <f>'NET PROFIT'!G33/'BALANCE SHEET'!G13</f>
        <v>0.17606156412483689</v>
      </c>
    </row>
    <row r="33" spans="1:8">
      <c r="A33" s="74" t="s">
        <v>4</v>
      </c>
      <c r="B33" s="287"/>
      <c r="C33" s="108">
        <f>'NET PROFIT'!C33/'BALANCE SHEET'!C28</f>
        <v>1</v>
      </c>
      <c r="D33" s="108">
        <f>'NET PROFIT'!D33/'BALANCE SHEET'!D28</f>
        <v>0.63981247036714251</v>
      </c>
      <c r="E33" s="108">
        <f>'NET PROFIT'!E33/'BALANCE SHEET'!E28</f>
        <v>0.45877635275154943</v>
      </c>
      <c r="F33" s="108">
        <f>'NET PROFIT'!F33/'BALANCE SHEET'!F28</f>
        <v>0.32598948856732929</v>
      </c>
      <c r="G33" s="108">
        <f>'NET PROFIT'!G33/'BALANCE SHEET'!G28</f>
        <v>0.25642309341543701</v>
      </c>
    </row>
    <row r="34" spans="1:8">
      <c r="A34" s="74" t="s">
        <v>92</v>
      </c>
      <c r="B34" s="287"/>
      <c r="C34" s="107">
        <f>'NET PROFIT'!C33/('BALANCE SHEET'!C19+'BALANCE SHEET'!C22+'BALANCE SHEET'!C28)</f>
        <v>1</v>
      </c>
      <c r="D34" s="107">
        <f>'NET PROFIT'!D33/('BALANCE SHEET'!D19+'BALANCE SHEET'!D22+'BALANCE SHEET'!D28)</f>
        <v>0.63981247036714251</v>
      </c>
      <c r="E34" s="107">
        <f>'NET PROFIT'!E33/('BALANCE SHEET'!E19+'BALANCE SHEET'!E22+'BALANCE SHEET'!E28)</f>
        <v>0.45877635275154943</v>
      </c>
      <c r="F34" s="107">
        <f>'NET PROFIT'!F33/('BALANCE SHEET'!F19+'BALANCE SHEET'!F22+'BALANCE SHEET'!F28)</f>
        <v>0.32598948856732929</v>
      </c>
      <c r="G34" s="107">
        <f>'NET PROFIT'!G33/('BALANCE SHEET'!G19+'BALANCE SHEET'!G22+'BALANCE SHEET'!G28)</f>
        <v>0.25642309341543701</v>
      </c>
    </row>
    <row r="35" spans="1:8">
      <c r="A35" s="28"/>
    </row>
    <row r="44" spans="1:8">
      <c r="H44" s="30"/>
    </row>
  </sheetData>
  <phoneticPr fontId="0" type="noConversion"/>
  <pageMargins left="0.75" right="0.75" top="0.5" bottom="0.5" header="0.5" footer="0.5"/>
  <pageSetup orientation="landscape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pageSetUpPr fitToPage="1"/>
  </sheetPr>
  <dimension ref="A1:G44"/>
  <sheetViews>
    <sheetView workbookViewId="0">
      <selection activeCell="F9" sqref="F9"/>
    </sheetView>
  </sheetViews>
  <sheetFormatPr baseColWidth="10" defaultColWidth="8.7109375" defaultRowHeight="12" x14ac:dyDescent="0"/>
  <cols>
    <col min="1" max="1" width="26.28515625" style="22" customWidth="1"/>
    <col min="2" max="2" width="2.85546875" style="22" bestFit="1" customWidth="1"/>
    <col min="3" max="3" width="10.7109375" style="22" customWidth="1"/>
    <col min="4" max="4" width="13.28515625" style="22" customWidth="1"/>
    <col min="5" max="5" width="12.42578125" style="22" customWidth="1"/>
    <col min="6" max="6" width="12.5703125" style="22" bestFit="1" customWidth="1"/>
    <col min="7" max="7" width="12.28515625" style="22" customWidth="1"/>
    <col min="8" max="16384" width="8.7109375" style="22"/>
  </cols>
  <sheetData>
    <row r="1" spans="1:7" ht="21">
      <c r="A1" s="440" t="str">
        <f>PERSONNEL!A1</f>
        <v>AQUAPONICS FARMING</v>
      </c>
      <c r="B1" s="441"/>
      <c r="C1" s="442"/>
      <c r="D1" s="428"/>
      <c r="E1" s="428"/>
      <c r="F1" s="428"/>
      <c r="G1" s="428"/>
    </row>
    <row r="2" spans="1:7" ht="15">
      <c r="A2" s="225" t="s">
        <v>48</v>
      </c>
    </row>
    <row r="3" spans="1:7" ht="15">
      <c r="A3" s="225" t="s">
        <v>53</v>
      </c>
      <c r="C3" s="428"/>
    </row>
    <row r="4" spans="1:7" ht="15">
      <c r="A4" s="188" t="s">
        <v>75</v>
      </c>
      <c r="D4" s="213"/>
    </row>
    <row r="5" spans="1:7" ht="15">
      <c r="B5" s="429"/>
      <c r="C5" s="47" t="s">
        <v>54</v>
      </c>
      <c r="D5" s="47" t="s">
        <v>55</v>
      </c>
      <c r="E5" s="47" t="s">
        <v>56</v>
      </c>
      <c r="F5" s="47" t="s">
        <v>57</v>
      </c>
      <c r="G5" s="47" t="s">
        <v>58</v>
      </c>
    </row>
    <row r="6" spans="1:7">
      <c r="A6" s="72" t="s">
        <v>362</v>
      </c>
    </row>
    <row r="7" spans="1:7">
      <c r="A7" s="424" t="s">
        <v>316</v>
      </c>
      <c r="B7" s="428" t="s">
        <v>385</v>
      </c>
      <c r="C7" s="443">
        <f>'PROJ SPECS'!B33</f>
        <v>420193.80000000005</v>
      </c>
      <c r="D7" s="443">
        <f>C7+(0.25*$C$7)</f>
        <v>525242.25</v>
      </c>
      <c r="E7" s="443">
        <f t="shared" ref="E7:G7" si="0">D7+(0.25*$C$7)</f>
        <v>630290.69999999995</v>
      </c>
      <c r="F7" s="443">
        <f t="shared" si="0"/>
        <v>735339.14999999991</v>
      </c>
      <c r="G7" s="443">
        <f t="shared" si="0"/>
        <v>840387.59999999986</v>
      </c>
    </row>
    <row r="8" spans="1:7">
      <c r="A8" s="424" t="s">
        <v>317</v>
      </c>
      <c r="B8" s="428" t="s">
        <v>368</v>
      </c>
      <c r="C8" s="439">
        <v>1.4</v>
      </c>
      <c r="D8" s="439">
        <v>1.32</v>
      </c>
      <c r="E8" s="439">
        <v>1.25</v>
      </c>
      <c r="F8" s="439">
        <v>1.1000000000000001</v>
      </c>
      <c r="G8" s="439">
        <v>1</v>
      </c>
    </row>
    <row r="9" spans="1:7">
      <c r="A9" s="426" t="s">
        <v>140</v>
      </c>
      <c r="B9" s="428" t="s">
        <v>368</v>
      </c>
      <c r="C9" s="444">
        <f>C7*C8</f>
        <v>588271.32000000007</v>
      </c>
      <c r="D9" s="444">
        <f t="shared" ref="D9:G9" si="1">D7*D8</f>
        <v>693319.77</v>
      </c>
      <c r="E9" s="444">
        <f t="shared" si="1"/>
        <v>787863.375</v>
      </c>
      <c r="F9" s="444">
        <f t="shared" si="1"/>
        <v>808873.06499999994</v>
      </c>
      <c r="G9" s="444">
        <f t="shared" si="1"/>
        <v>840387.59999999986</v>
      </c>
    </row>
    <row r="10" spans="1:7">
      <c r="A10" s="72" t="s">
        <v>363</v>
      </c>
    </row>
    <row r="11" spans="1:7">
      <c r="A11" s="424" t="s">
        <v>365</v>
      </c>
      <c r="B11" s="428" t="s">
        <v>326</v>
      </c>
      <c r="C11" s="443">
        <f>'PROJ SPECS'!B36</f>
        <v>183161.40000000002</v>
      </c>
      <c r="D11" s="443">
        <f>C11+(0.15*$C$11)</f>
        <v>210635.61000000002</v>
      </c>
      <c r="E11" s="443">
        <f t="shared" ref="E11:G11" si="2">D11+(0.15*$C$11)</f>
        <v>238109.82</v>
      </c>
      <c r="F11" s="443">
        <f t="shared" si="2"/>
        <v>265584.03000000003</v>
      </c>
      <c r="G11" s="443">
        <f t="shared" si="2"/>
        <v>293058.24000000005</v>
      </c>
    </row>
    <row r="12" spans="1:7">
      <c r="A12" s="424" t="s">
        <v>384</v>
      </c>
      <c r="B12" s="428" t="s">
        <v>368</v>
      </c>
      <c r="C12" s="439">
        <v>0.98</v>
      </c>
      <c r="D12" s="439">
        <v>0.93</v>
      </c>
      <c r="E12" s="439">
        <v>0.87</v>
      </c>
      <c r="F12" s="439">
        <v>0.8</v>
      </c>
      <c r="G12" s="439">
        <v>0.72</v>
      </c>
    </row>
    <row r="13" spans="1:7">
      <c r="A13" s="426" t="s">
        <v>140</v>
      </c>
      <c r="B13" s="428" t="s">
        <v>368</v>
      </c>
      <c r="C13" s="444">
        <f>C11*C12</f>
        <v>179498.17200000002</v>
      </c>
      <c r="D13" s="444">
        <f t="shared" ref="D13:G13" si="3">D11*D12</f>
        <v>195891.11730000001</v>
      </c>
      <c r="E13" s="444">
        <f t="shared" si="3"/>
        <v>207155.5434</v>
      </c>
      <c r="F13" s="444">
        <f t="shared" si="3"/>
        <v>212467.22400000005</v>
      </c>
      <c r="G13" s="444">
        <f t="shared" si="3"/>
        <v>211001.93280000004</v>
      </c>
    </row>
    <row r="14" spans="1:7">
      <c r="A14" s="72" t="s">
        <v>364</v>
      </c>
    </row>
    <row r="15" spans="1:7">
      <c r="A15" s="424" t="s">
        <v>365</v>
      </c>
      <c r="B15" s="428" t="s">
        <v>326</v>
      </c>
      <c r="C15" s="443">
        <f>'PROJ SPECS'!B18</f>
        <v>10774.193548387097</v>
      </c>
      <c r="D15" s="443">
        <f>C15</f>
        <v>10774.193548387097</v>
      </c>
      <c r="E15" s="443">
        <f t="shared" ref="E15:G15" si="4">D15</f>
        <v>10774.193548387097</v>
      </c>
      <c r="F15" s="443">
        <f t="shared" si="4"/>
        <v>10774.193548387097</v>
      </c>
      <c r="G15" s="443">
        <f t="shared" si="4"/>
        <v>10774.193548387097</v>
      </c>
    </row>
    <row r="16" spans="1:7">
      <c r="A16" s="424" t="s">
        <v>384</v>
      </c>
      <c r="B16" s="428" t="s">
        <v>368</v>
      </c>
      <c r="C16" s="439">
        <v>4</v>
      </c>
      <c r="D16" s="439">
        <v>4</v>
      </c>
      <c r="E16" s="439">
        <v>4</v>
      </c>
      <c r="F16" s="439">
        <v>4</v>
      </c>
      <c r="G16" s="439">
        <v>4</v>
      </c>
    </row>
    <row r="17" spans="1:7">
      <c r="A17" s="426" t="s">
        <v>140</v>
      </c>
      <c r="B17" s="428" t="s">
        <v>368</v>
      </c>
      <c r="C17" s="444">
        <f>C15*C16</f>
        <v>43096.774193548386</v>
      </c>
      <c r="D17" s="444">
        <f t="shared" ref="D17:G17" si="5">D15*D16</f>
        <v>43096.774193548386</v>
      </c>
      <c r="E17" s="444">
        <f t="shared" si="5"/>
        <v>43096.774193548386</v>
      </c>
      <c r="F17" s="444">
        <f t="shared" si="5"/>
        <v>43096.774193548386</v>
      </c>
      <c r="G17" s="444">
        <f t="shared" si="5"/>
        <v>43096.774193548386</v>
      </c>
    </row>
    <row r="18" spans="1:7">
      <c r="A18" s="431"/>
      <c r="B18" s="428"/>
      <c r="C18" s="445"/>
      <c r="D18" s="445"/>
      <c r="E18" s="445"/>
      <c r="F18" s="445"/>
      <c r="G18" s="445"/>
    </row>
    <row r="19" spans="1:7" ht="13" thickBot="1">
      <c r="A19" s="72" t="s">
        <v>83</v>
      </c>
      <c r="C19" s="432">
        <f>C9+C17+C13</f>
        <v>810866.26619354845</v>
      </c>
      <c r="D19" s="432">
        <f t="shared" ref="D19:G19" si="6">D9+D17+D13</f>
        <v>932307.66149354842</v>
      </c>
      <c r="E19" s="432">
        <f t="shared" si="6"/>
        <v>1038115.6925935483</v>
      </c>
      <c r="F19" s="432">
        <f t="shared" si="6"/>
        <v>1064437.0631935485</v>
      </c>
      <c r="G19" s="432">
        <f t="shared" si="6"/>
        <v>1094486.3069935483</v>
      </c>
    </row>
    <row r="20" spans="1:7" ht="13" thickTop="1">
      <c r="A20" s="72"/>
      <c r="C20" s="433"/>
      <c r="D20" s="433"/>
      <c r="E20" s="433"/>
      <c r="F20" s="433"/>
      <c r="G20" s="433"/>
    </row>
    <row r="21" spans="1:7" ht="15">
      <c r="D21" s="213" t="s">
        <v>146</v>
      </c>
      <c r="E21" s="423"/>
      <c r="F21" s="423"/>
    </row>
    <row r="22" spans="1:7" ht="15">
      <c r="D22" s="213" t="s">
        <v>75</v>
      </c>
      <c r="E22" s="423"/>
      <c r="F22" s="423"/>
    </row>
    <row r="23" spans="1:7" ht="15">
      <c r="A23" s="72" t="s">
        <v>179</v>
      </c>
      <c r="C23" s="47" t="s">
        <v>54</v>
      </c>
      <c r="D23" s="47" t="s">
        <v>55</v>
      </c>
      <c r="E23" s="47" t="s">
        <v>56</v>
      </c>
      <c r="F23" s="47" t="s">
        <v>57</v>
      </c>
      <c r="G23" s="47" t="s">
        <v>58</v>
      </c>
    </row>
    <row r="24" spans="1:7">
      <c r="A24" s="22" t="s">
        <v>128</v>
      </c>
      <c r="C24" s="430">
        <v>0</v>
      </c>
      <c r="D24" s="430">
        <f t="shared" ref="D24:E26" si="7">D$19*0.08</f>
        <v>74584.612919483872</v>
      </c>
      <c r="E24" s="430">
        <f t="shared" si="7"/>
        <v>83049.25540748387</v>
      </c>
      <c r="F24" s="430">
        <f>F$19*0.09</f>
        <v>95799.335687419356</v>
      </c>
      <c r="G24" s="430">
        <f>G$19*0.09</f>
        <v>98503.767629419337</v>
      </c>
    </row>
    <row r="25" spans="1:7">
      <c r="A25" s="22" t="s">
        <v>129</v>
      </c>
      <c r="C25" s="430">
        <v>0</v>
      </c>
      <c r="D25" s="430">
        <f t="shared" si="7"/>
        <v>74584.612919483872</v>
      </c>
      <c r="E25" s="430">
        <f t="shared" si="7"/>
        <v>83049.25540748387</v>
      </c>
      <c r="F25" s="430">
        <f>F$19*0.1</f>
        <v>106443.70631935485</v>
      </c>
      <c r="G25" s="430">
        <f>G$19*0.08</f>
        <v>87558.904559483868</v>
      </c>
    </row>
    <row r="26" spans="1:7">
      <c r="A26" s="22" t="s">
        <v>130</v>
      </c>
      <c r="C26" s="434">
        <v>0</v>
      </c>
      <c r="D26" s="434">
        <f t="shared" si="7"/>
        <v>74584.612919483872</v>
      </c>
      <c r="E26" s="434">
        <f t="shared" si="7"/>
        <v>83049.25540748387</v>
      </c>
      <c r="F26" s="434">
        <f t="shared" ref="F26:G26" si="8">F$19*0.07</f>
        <v>74510.594423548406</v>
      </c>
      <c r="G26" s="434">
        <f t="shared" si="8"/>
        <v>76614.041489548385</v>
      </c>
    </row>
    <row r="27" spans="1:7">
      <c r="A27" s="424" t="s">
        <v>141</v>
      </c>
      <c r="C27" s="479">
        <f>SUM(C24:C26)</f>
        <v>0</v>
      </c>
      <c r="D27" s="479">
        <f>SUM(D24:D26)</f>
        <v>223753.83875845163</v>
      </c>
      <c r="E27" s="479">
        <f t="shared" ref="E27:G27" si="9">SUM(E24:E26)</f>
        <v>249147.76622245161</v>
      </c>
      <c r="F27" s="479">
        <f t="shared" si="9"/>
        <v>276753.63643032266</v>
      </c>
      <c r="G27" s="479">
        <f t="shared" si="9"/>
        <v>262676.7136784516</v>
      </c>
    </row>
    <row r="28" spans="1:7">
      <c r="A28" s="22" t="s">
        <v>131</v>
      </c>
      <c r="C28" s="430">
        <f>C$19*0.05</f>
        <v>40543.313309677425</v>
      </c>
      <c r="D28" s="430">
        <f>D$19*0.08</f>
        <v>74584.612919483872</v>
      </c>
      <c r="E28" s="430">
        <f>E$19*0.08</f>
        <v>83049.25540748387</v>
      </c>
      <c r="F28" s="430">
        <f t="shared" ref="F28:G28" si="10">F$19*0.06</f>
        <v>63866.223791612909</v>
      </c>
      <c r="G28" s="430">
        <f t="shared" si="10"/>
        <v>65669.178419612901</v>
      </c>
    </row>
    <row r="29" spans="1:7">
      <c r="A29" s="22" t="s">
        <v>132</v>
      </c>
      <c r="C29" s="430">
        <f>C$19*0.08</f>
        <v>64869.301295483878</v>
      </c>
      <c r="D29" s="430">
        <f>D$19*0.07</f>
        <v>65261.536304548397</v>
      </c>
      <c r="E29" s="430">
        <f>E$19*0.08</f>
        <v>83049.25540748387</v>
      </c>
      <c r="F29" s="430">
        <f t="shared" ref="E29:G30" si="11">F$19*0.07</f>
        <v>74510.594423548406</v>
      </c>
      <c r="G29" s="430">
        <f t="shared" si="11"/>
        <v>76614.041489548385</v>
      </c>
    </row>
    <row r="30" spans="1:7">
      <c r="A30" s="22" t="s">
        <v>133</v>
      </c>
      <c r="C30" s="434">
        <f>C$19*0.1</f>
        <v>81086.626619354851</v>
      </c>
      <c r="D30" s="434">
        <f>D$19*0.07</f>
        <v>65261.536304548397</v>
      </c>
      <c r="E30" s="434">
        <f t="shared" si="11"/>
        <v>72668.098481548397</v>
      </c>
      <c r="F30" s="434">
        <f t="shared" si="11"/>
        <v>74510.594423548406</v>
      </c>
      <c r="G30" s="434">
        <f t="shared" si="11"/>
        <v>76614.041489548385</v>
      </c>
    </row>
    <row r="31" spans="1:7">
      <c r="A31" s="424" t="s">
        <v>142</v>
      </c>
      <c r="C31" s="479">
        <f>SUM(C28:C30)</f>
        <v>186499.24122451615</v>
      </c>
      <c r="D31" s="479">
        <f>SUM(D28:D30)</f>
        <v>205107.68552858068</v>
      </c>
      <c r="E31" s="479">
        <f t="shared" ref="E31:G31" si="12">SUM(E28:E30)</f>
        <v>238766.60929651614</v>
      </c>
      <c r="F31" s="479">
        <f t="shared" si="12"/>
        <v>212887.41263870973</v>
      </c>
      <c r="G31" s="479">
        <f t="shared" si="12"/>
        <v>218897.26139870967</v>
      </c>
    </row>
    <row r="32" spans="1:7">
      <c r="A32" s="22" t="s">
        <v>134</v>
      </c>
      <c r="C32" s="430">
        <f>C$19*0.1</f>
        <v>81086.626619354851</v>
      </c>
      <c r="D32" s="430">
        <f>D$19*0.08</f>
        <v>74584.612919483872</v>
      </c>
      <c r="E32" s="430">
        <f t="shared" ref="E32:G32" si="13">E$19*0.08</f>
        <v>83049.25540748387</v>
      </c>
      <c r="F32" s="430">
        <f t="shared" si="13"/>
        <v>85154.965055483874</v>
      </c>
      <c r="G32" s="430">
        <f t="shared" si="13"/>
        <v>87558.904559483868</v>
      </c>
    </row>
    <row r="33" spans="1:7">
      <c r="A33" s="22" t="s">
        <v>135</v>
      </c>
      <c r="C33" s="430">
        <f>C$19*0.12</f>
        <v>97303.951943225809</v>
      </c>
      <c r="D33" s="430">
        <f>D$19*0.08</f>
        <v>74584.612919483872</v>
      </c>
      <c r="E33" s="430">
        <f>E$19*0.07</f>
        <v>72668.098481548397</v>
      </c>
      <c r="F33" s="430">
        <f t="shared" ref="F33" si="14">F$19*0.1</f>
        <v>106443.70631935485</v>
      </c>
      <c r="G33" s="430">
        <f>G$19*0.08</f>
        <v>87558.904559483868</v>
      </c>
    </row>
    <row r="34" spans="1:7">
      <c r="A34" s="22" t="s">
        <v>136</v>
      </c>
      <c r="C34" s="434">
        <f>C$19*0.15</f>
        <v>121629.93992903226</v>
      </c>
      <c r="D34" s="434">
        <f>D$19*0.08</f>
        <v>74584.612919483872</v>
      </c>
      <c r="E34" s="434">
        <f>E$19*0.08</f>
        <v>83049.25540748387</v>
      </c>
      <c r="F34" s="434">
        <f>F$19*0.08</f>
        <v>85154.965055483874</v>
      </c>
      <c r="G34" s="434">
        <f>G$19*0.09</f>
        <v>98503.767629419337</v>
      </c>
    </row>
    <row r="35" spans="1:7">
      <c r="A35" s="424" t="s">
        <v>143</v>
      </c>
      <c r="C35" s="479">
        <f>SUM(C32:C34)</f>
        <v>300020.51849161292</v>
      </c>
      <c r="D35" s="479">
        <f>SUM(D32:D34)</f>
        <v>223753.83875845163</v>
      </c>
      <c r="E35" s="479">
        <f t="shared" ref="E35:G35" si="15">SUM(E32:E34)</f>
        <v>238766.60929651614</v>
      </c>
      <c r="F35" s="479">
        <f t="shared" si="15"/>
        <v>276753.6364303226</v>
      </c>
      <c r="G35" s="479">
        <f t="shared" si="15"/>
        <v>273621.57674838707</v>
      </c>
    </row>
    <row r="36" spans="1:7">
      <c r="A36" s="22" t="s">
        <v>137</v>
      </c>
      <c r="C36" s="430">
        <f>C$19*0.12</f>
        <v>97303.951943225809</v>
      </c>
      <c r="D36" s="430">
        <f>D$19*0.11</f>
        <v>102553.84276429033</v>
      </c>
      <c r="E36" s="430">
        <f t="shared" ref="E36:G36" si="16">E$19*0.11</f>
        <v>114192.72618529032</v>
      </c>
      <c r="F36" s="430">
        <f>F$19*0.1</f>
        <v>106443.70631935485</v>
      </c>
      <c r="G36" s="430">
        <f t="shared" si="16"/>
        <v>120393.49376929032</v>
      </c>
    </row>
    <row r="37" spans="1:7">
      <c r="A37" s="22" t="s">
        <v>138</v>
      </c>
      <c r="C37" s="430">
        <f>C$19*0.13</f>
        <v>105412.6146051613</v>
      </c>
      <c r="D37" s="430">
        <f>D$19*0.09</f>
        <v>83907.689534419362</v>
      </c>
      <c r="E37" s="430">
        <f>E$19*0.09</f>
        <v>93430.412333419343</v>
      </c>
      <c r="F37" s="430">
        <f>F$19*0.09</f>
        <v>95799.335687419356</v>
      </c>
      <c r="G37" s="430">
        <f>G$19*0.1</f>
        <v>109448.63069935484</v>
      </c>
    </row>
    <row r="38" spans="1:7">
      <c r="A38" s="22" t="s">
        <v>139</v>
      </c>
      <c r="C38" s="434">
        <f>C$19*0.15</f>
        <v>121629.93992903226</v>
      </c>
      <c r="D38" s="434">
        <f>D$19*0.1</f>
        <v>93230.766149354851</v>
      </c>
      <c r="E38" s="434">
        <f>E$19*0.1</f>
        <v>103811.56925935484</v>
      </c>
      <c r="F38" s="434">
        <f>F$19*0.09</f>
        <v>95799.335687419356</v>
      </c>
      <c r="G38" s="434">
        <f>G$19*0.1</f>
        <v>109448.63069935484</v>
      </c>
    </row>
    <row r="39" spans="1:7">
      <c r="A39" s="424" t="s">
        <v>144</v>
      </c>
      <c r="C39" s="435">
        <f>SUM(C36:C38)</f>
        <v>324346.5064774194</v>
      </c>
      <c r="D39" s="435">
        <f>SUM(D36:D38)</f>
        <v>279692.29844806454</v>
      </c>
      <c r="E39" s="435">
        <f t="shared" ref="E39:G39" si="17">SUM(E36:E38)</f>
        <v>311434.70777806453</v>
      </c>
      <c r="F39" s="435">
        <f t="shared" si="17"/>
        <v>298042.37769419356</v>
      </c>
      <c r="G39" s="435">
        <f t="shared" si="17"/>
        <v>339290.755168</v>
      </c>
    </row>
    <row r="40" spans="1:7" ht="13" thickBot="1">
      <c r="A40" s="426" t="s">
        <v>145</v>
      </c>
      <c r="C40" s="436">
        <f>C27+C31+C35+C39</f>
        <v>810866.26619354845</v>
      </c>
      <c r="D40" s="436">
        <f>D27+D31+D35+D39</f>
        <v>932307.66149354842</v>
      </c>
      <c r="E40" s="436">
        <f t="shared" ref="E40:G40" si="18">E27+E31+E35+E39</f>
        <v>1038115.6925935484</v>
      </c>
      <c r="F40" s="436">
        <f t="shared" si="18"/>
        <v>1064437.0631935485</v>
      </c>
      <c r="G40" s="436">
        <f t="shared" si="18"/>
        <v>1094486.3069935483</v>
      </c>
    </row>
    <row r="42" spans="1:7">
      <c r="A42" s="22" t="s">
        <v>297</v>
      </c>
    </row>
    <row r="43" spans="1:7">
      <c r="A43" s="424" t="s">
        <v>298</v>
      </c>
      <c r="C43" s="435">
        <f>C19/12</f>
        <v>67572.188849462371</v>
      </c>
      <c r="D43" s="435">
        <f>D19/12</f>
        <v>77692.305124462364</v>
      </c>
      <c r="E43" s="435">
        <f>E19/12</f>
        <v>86509.641049462356</v>
      </c>
      <c r="F43" s="435">
        <f>F19/12</f>
        <v>88703.088599462368</v>
      </c>
      <c r="G43" s="435">
        <f>G19/12</f>
        <v>91207.192249462358</v>
      </c>
    </row>
    <row r="44" spans="1:7">
      <c r="A44" s="424" t="s">
        <v>299</v>
      </c>
      <c r="C44" s="435">
        <f>C19/4</f>
        <v>202716.56654838711</v>
      </c>
      <c r="D44" s="435">
        <f>D19/4</f>
        <v>233076.91537338711</v>
      </c>
      <c r="E44" s="435">
        <f>E19/4</f>
        <v>259528.92314838708</v>
      </c>
      <c r="F44" s="435">
        <f>F19/4</f>
        <v>266109.26579838712</v>
      </c>
      <c r="G44" s="435">
        <f>G19/4</f>
        <v>273621.57674838707</v>
      </c>
    </row>
  </sheetData>
  <dataConsolidate/>
  <phoneticPr fontId="0" type="noConversion"/>
  <pageMargins left="0.75" right="0.75" top="0.5" bottom="0.5" header="0.5" footer="0.5"/>
  <pageSetup orientation="portrait" horizontalDpi="300" verticalDpi="300"/>
  <headerFooter alignWithMargins="0">
    <oddHeader>&amp;R&amp;D
&amp;T</oddHeader>
  </headerFooter>
  <colBreaks count="1" manualBreakCount="1">
    <brk id="7" max="44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pageSetUpPr fitToPage="1"/>
  </sheetPr>
  <dimension ref="A1:H63"/>
  <sheetViews>
    <sheetView workbookViewId="0">
      <selection activeCell="C1" sqref="C1"/>
    </sheetView>
  </sheetViews>
  <sheetFormatPr baseColWidth="10" defaultColWidth="8.7109375" defaultRowHeight="13" x14ac:dyDescent="0"/>
  <cols>
    <col min="1" max="1" width="30.7109375" style="10" customWidth="1"/>
    <col min="2" max="2" width="7" style="10" customWidth="1"/>
    <col min="3" max="4" width="10.7109375" style="10" customWidth="1"/>
    <col min="5" max="5" width="12.5703125" style="10" customWidth="1"/>
    <col min="6" max="6" width="12.140625" style="10" customWidth="1"/>
    <col min="7" max="7" width="13.28515625" style="10" customWidth="1"/>
    <col min="8" max="16384" width="8.7109375" style="10"/>
  </cols>
  <sheetData>
    <row r="1" spans="1:8" ht="18">
      <c r="A1" s="186" t="s">
        <v>324</v>
      </c>
      <c r="B1" s="462"/>
      <c r="C1" s="462"/>
      <c r="D1" s="462"/>
      <c r="E1" s="462"/>
      <c r="F1" s="462"/>
      <c r="G1" s="462"/>
      <c r="H1" s="9"/>
    </row>
    <row r="2" spans="1:8" ht="15">
      <c r="A2" s="187" t="s">
        <v>147</v>
      </c>
      <c r="B2" s="9"/>
      <c r="C2" s="9"/>
      <c r="D2" s="9"/>
      <c r="E2" s="9"/>
      <c r="F2" s="9"/>
      <c r="G2" s="9"/>
      <c r="H2" s="9"/>
    </row>
    <row r="3" spans="1:8" ht="15">
      <c r="A3" s="187" t="s">
        <v>53</v>
      </c>
      <c r="B3" s="9"/>
      <c r="C3" s="9"/>
      <c r="D3" s="9"/>
      <c r="E3" s="9"/>
      <c r="F3" s="9"/>
      <c r="G3" s="9"/>
      <c r="H3" s="9"/>
    </row>
    <row r="4" spans="1:8" ht="15">
      <c r="A4" s="188" t="s">
        <v>75</v>
      </c>
      <c r="B4" s="9"/>
      <c r="C4" s="9"/>
      <c r="D4" s="9"/>
      <c r="E4" s="9"/>
      <c r="F4" s="9"/>
      <c r="G4" s="9"/>
      <c r="H4" s="9"/>
    </row>
    <row r="5" spans="1:8" ht="15">
      <c r="A5" s="9"/>
      <c r="C5" s="45" t="s">
        <v>54</v>
      </c>
      <c r="D5" s="45" t="s">
        <v>55</v>
      </c>
      <c r="E5" s="45" t="s">
        <v>56</v>
      </c>
      <c r="F5" s="45" t="s">
        <v>57</v>
      </c>
      <c r="G5" s="45" t="s">
        <v>58</v>
      </c>
    </row>
    <row r="6" spans="1:8" s="25" customFormat="1">
      <c r="A6" s="9"/>
      <c r="B6" s="46"/>
      <c r="C6" s="46"/>
      <c r="D6" s="46"/>
      <c r="E6" s="46"/>
      <c r="F6" s="46"/>
      <c r="G6" s="46"/>
    </row>
    <row r="7" spans="1:8">
      <c r="A7" s="69" t="s">
        <v>2</v>
      </c>
      <c r="B7" s="463"/>
      <c r="C7" s="464">
        <f>REVENUE!C19</f>
        <v>810866.26619354845</v>
      </c>
      <c r="D7" s="464">
        <f>REVENUE!D19</f>
        <v>932307.66149354842</v>
      </c>
      <c r="E7" s="464">
        <f>REVENUE!E19</f>
        <v>1038115.6925935483</v>
      </c>
      <c r="F7" s="464">
        <f>REVENUE!F19</f>
        <v>1064437.0631935485</v>
      </c>
      <c r="G7" s="464">
        <f>REVENUE!G19</f>
        <v>1094486.3069935483</v>
      </c>
      <c r="H7" s="9"/>
    </row>
    <row r="8" spans="1:8">
      <c r="A8" s="9"/>
      <c r="B8" s="9"/>
      <c r="C8" s="9"/>
      <c r="D8" s="9"/>
      <c r="E8" s="9"/>
      <c r="F8" s="9"/>
      <c r="G8" s="9"/>
      <c r="H8" s="9"/>
    </row>
    <row r="9" spans="1:8">
      <c r="A9" s="69" t="s">
        <v>147</v>
      </c>
      <c r="B9" s="463"/>
      <c r="C9" s="462"/>
      <c r="D9" s="465"/>
      <c r="E9" s="465"/>
      <c r="F9" s="465"/>
      <c r="G9" s="465"/>
    </row>
    <row r="10" spans="1:8">
      <c r="A10" s="503" t="s">
        <v>386</v>
      </c>
      <c r="B10" s="463"/>
      <c r="C10" s="462"/>
      <c r="D10" s="465"/>
      <c r="E10" s="465"/>
      <c r="F10" s="465"/>
      <c r="G10" s="465"/>
    </row>
    <row r="11" spans="1:8">
      <c r="A11" s="412" t="s">
        <v>393</v>
      </c>
      <c r="B11" s="463"/>
      <c r="C11" s="466">
        <v>0.1</v>
      </c>
      <c r="D11" s="466">
        <v>0.1</v>
      </c>
      <c r="E11" s="466">
        <v>0.1</v>
      </c>
      <c r="F11" s="466">
        <v>0.1</v>
      </c>
      <c r="G11" s="466">
        <v>0.1</v>
      </c>
    </row>
    <row r="12" spans="1:8">
      <c r="A12" s="412" t="s">
        <v>390</v>
      </c>
      <c r="B12" s="463"/>
      <c r="C12" s="466">
        <v>0.05</v>
      </c>
      <c r="D12" s="466">
        <v>0.05</v>
      </c>
      <c r="E12" s="466">
        <v>0.05</v>
      </c>
      <c r="F12" s="466">
        <v>0.05</v>
      </c>
      <c r="G12" s="466">
        <v>0.05</v>
      </c>
    </row>
    <row r="13" spans="1:8">
      <c r="A13" s="467" t="s">
        <v>318</v>
      </c>
      <c r="B13" s="463"/>
      <c r="C13" s="466">
        <f>SUM(C11:C12)</f>
        <v>0.15000000000000002</v>
      </c>
      <c r="D13" s="466">
        <f t="shared" ref="D13:G13" si="0">SUM(D11:D12)</f>
        <v>0.15000000000000002</v>
      </c>
      <c r="E13" s="466">
        <f t="shared" si="0"/>
        <v>0.15000000000000002</v>
      </c>
      <c r="F13" s="466">
        <f t="shared" si="0"/>
        <v>0.15000000000000002</v>
      </c>
      <c r="G13" s="466">
        <f t="shared" si="0"/>
        <v>0.15000000000000002</v>
      </c>
    </row>
    <row r="14" spans="1:8">
      <c r="A14" s="467" t="s">
        <v>319</v>
      </c>
      <c r="B14" s="463"/>
      <c r="C14" s="468">
        <f>REVENUE!C7</f>
        <v>420193.80000000005</v>
      </c>
      <c r="D14" s="468">
        <f>REVENUE!D7</f>
        <v>525242.25</v>
      </c>
      <c r="E14" s="468">
        <f>REVENUE!E7</f>
        <v>630290.69999999995</v>
      </c>
      <c r="F14" s="468">
        <f>REVENUE!F7</f>
        <v>735339.14999999991</v>
      </c>
      <c r="G14" s="468">
        <f>REVENUE!G7</f>
        <v>840387.59999999986</v>
      </c>
    </row>
    <row r="15" spans="1:8">
      <c r="A15" s="467" t="s">
        <v>320</v>
      </c>
      <c r="B15" s="463"/>
      <c r="C15" s="502">
        <f>C13*C14</f>
        <v>63029.070000000014</v>
      </c>
      <c r="D15" s="502">
        <f>D13*D14</f>
        <v>78786.337500000009</v>
      </c>
      <c r="E15" s="502">
        <f>E13*E14</f>
        <v>94543.60500000001</v>
      </c>
      <c r="F15" s="502">
        <f>F13*F14</f>
        <v>110300.8725</v>
      </c>
      <c r="G15" s="502">
        <f>G13*G14</f>
        <v>126058.14</v>
      </c>
    </row>
    <row r="16" spans="1:8">
      <c r="A16" s="503" t="s">
        <v>387</v>
      </c>
      <c r="B16" s="463"/>
      <c r="C16" s="462"/>
      <c r="D16" s="465"/>
      <c r="E16" s="465"/>
      <c r="F16" s="465"/>
      <c r="G16" s="465"/>
    </row>
    <row r="17" spans="1:7">
      <c r="A17" s="412" t="s">
        <v>392</v>
      </c>
      <c r="B17" s="463"/>
      <c r="C17" s="466">
        <v>0.12</v>
      </c>
      <c r="D17" s="466">
        <v>0.12</v>
      </c>
      <c r="E17" s="466">
        <v>0.12</v>
      </c>
      <c r="F17" s="466">
        <v>0.12</v>
      </c>
      <c r="G17" s="466">
        <v>0.12</v>
      </c>
    </row>
    <row r="18" spans="1:7">
      <c r="A18" s="412" t="s">
        <v>390</v>
      </c>
      <c r="B18" s="463"/>
      <c r="C18" s="466">
        <v>0.05</v>
      </c>
      <c r="D18" s="466">
        <v>0.05</v>
      </c>
      <c r="E18" s="466">
        <v>0.05</v>
      </c>
      <c r="F18" s="466">
        <v>0.05</v>
      </c>
      <c r="G18" s="466">
        <v>0.05</v>
      </c>
    </row>
    <row r="19" spans="1:7">
      <c r="A19" s="467" t="s">
        <v>318</v>
      </c>
      <c r="B19" s="463"/>
      <c r="C19" s="466">
        <f>SUM(C17:C18)</f>
        <v>0.16999999999999998</v>
      </c>
      <c r="D19" s="466">
        <f t="shared" ref="D19:G19" si="1">SUM(D17:D18)</f>
        <v>0.16999999999999998</v>
      </c>
      <c r="E19" s="466">
        <f t="shared" si="1"/>
        <v>0.16999999999999998</v>
      </c>
      <c r="F19" s="466">
        <f t="shared" si="1"/>
        <v>0.16999999999999998</v>
      </c>
      <c r="G19" s="466">
        <f t="shared" si="1"/>
        <v>0.16999999999999998</v>
      </c>
    </row>
    <row r="20" spans="1:7">
      <c r="A20" s="467" t="s">
        <v>319</v>
      </c>
      <c r="B20" s="463"/>
      <c r="C20" s="468">
        <f>REVENUE!C11</f>
        <v>183161.40000000002</v>
      </c>
      <c r="D20" s="468">
        <f>REVENUE!D11</f>
        <v>210635.61000000002</v>
      </c>
      <c r="E20" s="468">
        <f>REVENUE!E11</f>
        <v>238109.82</v>
      </c>
      <c r="F20" s="468">
        <f>REVENUE!F11</f>
        <v>265584.03000000003</v>
      </c>
      <c r="G20" s="468">
        <f>REVENUE!G11</f>
        <v>293058.24000000005</v>
      </c>
    </row>
    <row r="21" spans="1:7">
      <c r="A21" s="467" t="s">
        <v>320</v>
      </c>
      <c r="B21" s="463"/>
      <c r="C21" s="502">
        <f>C19*C20</f>
        <v>31137.438000000002</v>
      </c>
      <c r="D21" s="502">
        <f t="shared" ref="D21" si="2">D19*D20</f>
        <v>35808.053699999997</v>
      </c>
      <c r="E21" s="502">
        <f t="shared" ref="E21" si="3">E19*E20</f>
        <v>40478.669399999999</v>
      </c>
      <c r="F21" s="502">
        <f t="shared" ref="F21" si="4">F19*F20</f>
        <v>45149.285100000001</v>
      </c>
      <c r="G21" s="502">
        <f t="shared" ref="G21" si="5">G19*G20</f>
        <v>49819.900800000003</v>
      </c>
    </row>
    <row r="22" spans="1:7">
      <c r="A22" s="503" t="s">
        <v>335</v>
      </c>
      <c r="B22" s="463"/>
      <c r="C22" s="462"/>
      <c r="D22" s="465"/>
      <c r="E22" s="465"/>
      <c r="F22" s="465"/>
      <c r="G22" s="465"/>
    </row>
    <row r="23" spans="1:7">
      <c r="A23" s="412" t="s">
        <v>391</v>
      </c>
      <c r="B23" s="463"/>
      <c r="C23" s="466">
        <v>0.5</v>
      </c>
      <c r="D23" s="466">
        <v>0.5</v>
      </c>
      <c r="E23" s="466">
        <v>0.5</v>
      </c>
      <c r="F23" s="466">
        <v>0.5</v>
      </c>
      <c r="G23" s="466">
        <v>0.5</v>
      </c>
    </row>
    <row r="24" spans="1:7">
      <c r="A24" s="412" t="s">
        <v>390</v>
      </c>
      <c r="B24" s="463"/>
      <c r="C24" s="466">
        <v>0.3</v>
      </c>
      <c r="D24" s="466">
        <v>0.3</v>
      </c>
      <c r="E24" s="466">
        <v>0.3</v>
      </c>
      <c r="F24" s="466">
        <v>0.3</v>
      </c>
      <c r="G24" s="466">
        <v>0.3</v>
      </c>
    </row>
    <row r="25" spans="1:7">
      <c r="A25" s="467" t="s">
        <v>318</v>
      </c>
      <c r="B25" s="463"/>
      <c r="C25" s="466">
        <f>C23+C24</f>
        <v>0.8</v>
      </c>
      <c r="D25" s="466">
        <f t="shared" ref="D25:G25" si="6">D23+D24</f>
        <v>0.8</v>
      </c>
      <c r="E25" s="466">
        <f t="shared" si="6"/>
        <v>0.8</v>
      </c>
      <c r="F25" s="466">
        <f t="shared" si="6"/>
        <v>0.8</v>
      </c>
      <c r="G25" s="466">
        <f t="shared" si="6"/>
        <v>0.8</v>
      </c>
    </row>
    <row r="26" spans="1:7">
      <c r="A26" s="467" t="s">
        <v>319</v>
      </c>
      <c r="B26" s="463"/>
      <c r="C26" s="468">
        <f>REVENUE!C15</f>
        <v>10774.193548387097</v>
      </c>
      <c r="D26" s="468">
        <f>REVENUE!D15</f>
        <v>10774.193548387097</v>
      </c>
      <c r="E26" s="468">
        <f>REVENUE!E15</f>
        <v>10774.193548387097</v>
      </c>
      <c r="F26" s="468">
        <f>REVENUE!F15</f>
        <v>10774.193548387097</v>
      </c>
      <c r="G26" s="468">
        <f>REVENUE!G15</f>
        <v>10774.193548387097</v>
      </c>
    </row>
    <row r="27" spans="1:7">
      <c r="A27" s="467" t="s">
        <v>320</v>
      </c>
      <c r="B27" s="463"/>
      <c r="C27" s="502">
        <f>C25*C26</f>
        <v>8619.354838709678</v>
      </c>
      <c r="D27" s="502">
        <f t="shared" ref="D27" si="7">D25*D26</f>
        <v>8619.354838709678</v>
      </c>
      <c r="E27" s="502">
        <f t="shared" ref="E27" si="8">E25*E26</f>
        <v>8619.354838709678</v>
      </c>
      <c r="F27" s="502">
        <f t="shared" ref="F27" si="9">F25*F26</f>
        <v>8619.354838709678</v>
      </c>
      <c r="G27" s="502">
        <f t="shared" ref="G27" si="10">G25*G26</f>
        <v>8619.354838709678</v>
      </c>
    </row>
    <row r="28" spans="1:7">
      <c r="A28" s="467"/>
      <c r="B28" s="463"/>
      <c r="C28" s="469"/>
      <c r="D28" s="469"/>
      <c r="E28" s="469"/>
      <c r="F28" s="469"/>
      <c r="G28" s="469"/>
    </row>
    <row r="29" spans="1:7">
      <c r="A29" s="412" t="s">
        <v>208</v>
      </c>
      <c r="B29" s="416">
        <v>0.01</v>
      </c>
      <c r="C29" s="476">
        <f>$B29*C7</f>
        <v>8108.6626619354847</v>
      </c>
      <c r="D29" s="476">
        <f>$B29*D7</f>
        <v>9323.076614935484</v>
      </c>
      <c r="E29" s="476">
        <f>$B29*E7</f>
        <v>10381.156925935484</v>
      </c>
      <c r="F29" s="476">
        <f>$B29*F7</f>
        <v>10644.370631935484</v>
      </c>
      <c r="G29" s="476">
        <f>$B29*G7</f>
        <v>10944.863069935484</v>
      </c>
    </row>
    <row r="30" spans="1:7" ht="14" thickBot="1">
      <c r="A30" s="217" t="s">
        <v>156</v>
      </c>
      <c r="B30" s="470"/>
      <c r="C30" s="471">
        <f>C15+C21+C27+C29</f>
        <v>110894.52550064518</v>
      </c>
      <c r="D30" s="471">
        <f t="shared" ref="D30:G30" si="11">D15+D21+D27+D29</f>
        <v>132536.82265364518</v>
      </c>
      <c r="E30" s="471">
        <f t="shared" si="11"/>
        <v>154022.78616464513</v>
      </c>
      <c r="F30" s="471">
        <f t="shared" si="11"/>
        <v>174713.88307064516</v>
      </c>
      <c r="G30" s="471">
        <f t="shared" si="11"/>
        <v>195442.25870864518</v>
      </c>
    </row>
    <row r="31" spans="1:7" ht="14" thickTop="1">
      <c r="A31" s="17" t="s">
        <v>46</v>
      </c>
      <c r="C31" s="408">
        <f>C30/C7</f>
        <v>0.13676056104937948</v>
      </c>
      <c r="D31" s="408">
        <f>D30/D7</f>
        <v>0.14215996299046002</v>
      </c>
      <c r="E31" s="408">
        <f>E30/E7</f>
        <v>0.1483676504107615</v>
      </c>
      <c r="F31" s="408">
        <f>F30/F7</f>
        <v>0.16413735401740387</v>
      </c>
      <c r="G31" s="408">
        <f>G30/G7</f>
        <v>0.17856985277916068</v>
      </c>
    </row>
    <row r="32" spans="1:7">
      <c r="A32" s="9"/>
      <c r="B32" s="9"/>
      <c r="C32" s="472"/>
      <c r="D32" s="472"/>
      <c r="E32" s="472"/>
      <c r="F32" s="472"/>
      <c r="G32" s="472"/>
    </row>
    <row r="33" spans="1:7">
      <c r="A33" s="44" t="s">
        <v>300</v>
      </c>
      <c r="B33" s="9"/>
      <c r="C33" s="473"/>
      <c r="D33" s="473"/>
      <c r="E33" s="473"/>
      <c r="F33" s="473"/>
      <c r="G33" s="473"/>
    </row>
    <row r="34" spans="1:7">
      <c r="A34" s="422" t="s">
        <v>110</v>
      </c>
      <c r="B34" s="9"/>
      <c r="C34" s="474">
        <f>C29</f>
        <v>8108.6626619354847</v>
      </c>
      <c r="D34" s="474">
        <f t="shared" ref="D34:G34" si="12">D29</f>
        <v>9323.076614935484</v>
      </c>
      <c r="E34" s="474">
        <f t="shared" si="12"/>
        <v>10381.156925935484</v>
      </c>
      <c r="F34" s="474">
        <f t="shared" si="12"/>
        <v>10644.370631935484</v>
      </c>
      <c r="G34" s="474">
        <f t="shared" si="12"/>
        <v>10944.863069935484</v>
      </c>
    </row>
    <row r="35" spans="1:7">
      <c r="A35" s="422" t="s">
        <v>109</v>
      </c>
      <c r="B35" s="9"/>
      <c r="C35" s="475">
        <f>C15+C21+C27</f>
        <v>102785.8628387097</v>
      </c>
      <c r="D35" s="475">
        <f t="shared" ref="D35:G35" si="13">D15+D21+D27</f>
        <v>123213.74603870969</v>
      </c>
      <c r="E35" s="475">
        <f t="shared" si="13"/>
        <v>143641.62923870966</v>
      </c>
      <c r="F35" s="475">
        <f t="shared" si="13"/>
        <v>164069.51243870967</v>
      </c>
      <c r="G35" s="475">
        <f t="shared" si="13"/>
        <v>184497.39563870968</v>
      </c>
    </row>
    <row r="36" spans="1:7">
      <c r="A36" s="418" t="s">
        <v>111</v>
      </c>
      <c r="B36" s="9"/>
      <c r="C36" s="589">
        <f>SUM(C34:C35)</f>
        <v>110894.52550064518</v>
      </c>
      <c r="D36" s="589">
        <f>SUM(D34:D35)</f>
        <v>132536.82265364518</v>
      </c>
      <c r="E36" s="589">
        <f>SUM(E34:E35)</f>
        <v>154022.78616464513</v>
      </c>
      <c r="F36" s="589">
        <f>SUM(F34:F35)</f>
        <v>174713.88307064516</v>
      </c>
      <c r="G36" s="589">
        <f>SUM(G34:G35)</f>
        <v>195442.25870864518</v>
      </c>
    </row>
    <row r="37" spans="1:7">
      <c r="A37" s="418"/>
      <c r="B37" s="9"/>
      <c r="C37" s="9"/>
      <c r="D37" s="9"/>
      <c r="E37" s="9"/>
      <c r="F37" s="9"/>
      <c r="G37" s="9"/>
    </row>
    <row r="38" spans="1:7" ht="15">
      <c r="A38" s="22"/>
      <c r="B38" s="22"/>
      <c r="C38" s="22"/>
      <c r="D38" s="213" t="s">
        <v>436</v>
      </c>
      <c r="E38" s="423"/>
      <c r="F38" s="423"/>
      <c r="G38" s="22"/>
    </row>
    <row r="39" spans="1:7" ht="15">
      <c r="A39" s="22"/>
      <c r="B39" s="22"/>
      <c r="C39" s="22"/>
      <c r="D39" s="213" t="s">
        <v>75</v>
      </c>
      <c r="E39" s="423"/>
      <c r="F39" s="423"/>
      <c r="G39" s="22"/>
    </row>
    <row r="40" spans="1:7" ht="15">
      <c r="A40" s="22"/>
      <c r="B40" s="22"/>
      <c r="C40" s="47" t="s">
        <v>54</v>
      </c>
      <c r="D40" s="47" t="s">
        <v>55</v>
      </c>
      <c r="E40" s="47" t="s">
        <v>56</v>
      </c>
      <c r="F40" s="47" t="s">
        <v>57</v>
      </c>
      <c r="G40" s="47" t="s">
        <v>58</v>
      </c>
    </row>
    <row r="41" spans="1:7">
      <c r="A41" s="22" t="s">
        <v>128</v>
      </c>
      <c r="C41" s="504">
        <f>REVENUE!C24*'COST OF REV'!C$31</f>
        <v>0</v>
      </c>
      <c r="D41" s="504">
        <f>REVENUE!D24*'COST OF REV'!D$31</f>
        <v>10602.945812291613</v>
      </c>
      <c r="E41" s="504"/>
      <c r="F41" s="504"/>
      <c r="G41" s="504"/>
    </row>
    <row r="42" spans="1:7">
      <c r="A42" s="22" t="s">
        <v>129</v>
      </c>
      <c r="C42" s="504">
        <f>REVENUE!C25*'COST OF REV'!C$31</f>
        <v>0</v>
      </c>
      <c r="D42" s="504">
        <f>REVENUE!D25*'COST OF REV'!D$31</f>
        <v>10602.945812291613</v>
      </c>
      <c r="E42" s="504"/>
      <c r="F42" s="504"/>
      <c r="G42" s="504"/>
    </row>
    <row r="43" spans="1:7">
      <c r="A43" s="22" t="s">
        <v>130</v>
      </c>
      <c r="C43" s="504">
        <f>REVENUE!C26*'COST OF REV'!C$31</f>
        <v>0</v>
      </c>
      <c r="D43" s="504">
        <f>REVENUE!D26*'COST OF REV'!D$31</f>
        <v>10602.945812291613</v>
      </c>
      <c r="E43" s="504"/>
      <c r="F43" s="504"/>
      <c r="G43" s="504"/>
    </row>
    <row r="44" spans="1:7">
      <c r="A44" s="424" t="s">
        <v>141</v>
      </c>
      <c r="C44" s="519">
        <f>REVENUE!C27*'COST OF REV'!C$31</f>
        <v>0</v>
      </c>
      <c r="D44" s="519">
        <f>REVENUE!D27*'COST OF REV'!D$31</f>
        <v>31808.837436874845</v>
      </c>
      <c r="E44" s="519">
        <f>REVENUE!E27*'COST OF REV'!E$31</f>
        <v>36965.46867951483</v>
      </c>
      <c r="F44" s="519">
        <f>REVENUE!F27*'COST OF REV'!F$31</f>
        <v>45425.609598367751</v>
      </c>
      <c r="G44" s="519">
        <f>REVENUE!G27*'COST OF REV'!G$31</f>
        <v>46906.142090074849</v>
      </c>
    </row>
    <row r="45" spans="1:7">
      <c r="A45" s="22" t="s">
        <v>131</v>
      </c>
      <c r="C45" s="504">
        <f>REVENUE!C28*'COST OF REV'!C$31</f>
        <v>5544.7262750322589</v>
      </c>
      <c r="D45" s="504">
        <f>REVENUE!D28*'COST OF REV'!D$31</f>
        <v>10602.945812291613</v>
      </c>
      <c r="E45" s="504"/>
      <c r="F45" s="504"/>
      <c r="G45" s="504"/>
    </row>
    <row r="46" spans="1:7">
      <c r="A46" s="22" t="s">
        <v>132</v>
      </c>
      <c r="C46" s="504">
        <f>REVENUE!C29*'COST OF REV'!C$31</f>
        <v>8871.5620400516145</v>
      </c>
      <c r="D46" s="504">
        <f>REVENUE!D29*'COST OF REV'!D$31</f>
        <v>9277.5775857551635</v>
      </c>
      <c r="E46" s="504"/>
      <c r="F46" s="504"/>
      <c r="G46" s="504"/>
    </row>
    <row r="47" spans="1:7">
      <c r="A47" s="22" t="s">
        <v>133</v>
      </c>
      <c r="C47" s="504">
        <f>REVENUE!C30*'COST OF REV'!C$31</f>
        <v>11089.452550064518</v>
      </c>
      <c r="D47" s="504">
        <f>REVENUE!D30*'COST OF REV'!D$31</f>
        <v>9277.5775857551635</v>
      </c>
      <c r="E47" s="504"/>
      <c r="F47" s="504"/>
      <c r="G47" s="504"/>
    </row>
    <row r="48" spans="1:7">
      <c r="A48" s="424" t="s">
        <v>142</v>
      </c>
      <c r="C48" s="519">
        <f>REVENUE!C31*'COST OF REV'!C$31</f>
        <v>25505.740865148389</v>
      </c>
      <c r="D48" s="519">
        <f>REVENUE!D31*'COST OF REV'!D$31</f>
        <v>29158.100983801942</v>
      </c>
      <c r="E48" s="519">
        <f>REVENUE!E31*'COST OF REV'!E$31</f>
        <v>35425.240817868384</v>
      </c>
      <c r="F48" s="519">
        <f>REVENUE!F31*'COST OF REV'!F$31</f>
        <v>34942.776614129041</v>
      </c>
      <c r="G48" s="519">
        <f>REVENUE!G31*'COST OF REV'!G$31</f>
        <v>39088.451741729041</v>
      </c>
    </row>
    <row r="49" spans="1:7">
      <c r="A49" s="22" t="s">
        <v>134</v>
      </c>
      <c r="C49" s="504">
        <f>REVENUE!C32*'COST OF REV'!C$31</f>
        <v>11089.452550064518</v>
      </c>
      <c r="D49" s="504">
        <f>REVENUE!D32*'COST OF REV'!D$31</f>
        <v>10602.945812291613</v>
      </c>
      <c r="E49" s="504"/>
      <c r="F49" s="504"/>
      <c r="G49" s="504"/>
    </row>
    <row r="50" spans="1:7">
      <c r="A50" s="22" t="s">
        <v>135</v>
      </c>
      <c r="C50" s="504">
        <f>REVENUE!C33*'COST OF REV'!C$31</f>
        <v>13307.343060077419</v>
      </c>
      <c r="D50" s="504">
        <f>REVENUE!D33*'COST OF REV'!D$31</f>
        <v>10602.945812291613</v>
      </c>
      <c r="E50" s="504"/>
      <c r="F50" s="504"/>
      <c r="G50" s="504"/>
    </row>
    <row r="51" spans="1:7">
      <c r="A51" s="22" t="s">
        <v>136</v>
      </c>
      <c r="C51" s="504">
        <f>REVENUE!C34*'COST OF REV'!C$31</f>
        <v>16634.178825096777</v>
      </c>
      <c r="D51" s="504">
        <f>REVENUE!D34*'COST OF REV'!D$31</f>
        <v>10602.945812291613</v>
      </c>
      <c r="E51" s="504"/>
      <c r="F51" s="504"/>
      <c r="G51" s="504"/>
    </row>
    <row r="52" spans="1:7">
      <c r="A52" s="424" t="s">
        <v>143</v>
      </c>
      <c r="C52" s="519">
        <f>REVENUE!C35*'COST OF REV'!C$31</f>
        <v>41030.974435238713</v>
      </c>
      <c r="D52" s="519">
        <f>REVENUE!D35*'COST OF REV'!D$31</f>
        <v>31808.837436874845</v>
      </c>
      <c r="E52" s="519">
        <f>REVENUE!E35*'COST OF REV'!E$31</f>
        <v>35425.240817868384</v>
      </c>
      <c r="F52" s="519">
        <f>REVENUE!F35*'COST OF REV'!F$31</f>
        <v>45425.609598367744</v>
      </c>
      <c r="G52" s="519">
        <f>REVENUE!G35*'COST OF REV'!G$31</f>
        <v>48860.564677161296</v>
      </c>
    </row>
    <row r="53" spans="1:7">
      <c r="A53" s="22" t="s">
        <v>137</v>
      </c>
      <c r="C53" s="504">
        <f>REVENUE!C36*'COST OF REV'!C$31</f>
        <v>13307.343060077419</v>
      </c>
      <c r="D53" s="504">
        <f>REVENUE!D36*'COST OF REV'!D$31</f>
        <v>14579.050491900969</v>
      </c>
      <c r="E53" s="504"/>
      <c r="F53" s="504"/>
      <c r="G53" s="504"/>
    </row>
    <row r="54" spans="1:7">
      <c r="A54" s="22" t="s">
        <v>138</v>
      </c>
      <c r="C54" s="504">
        <f>REVENUE!C37*'COST OF REV'!C$31</f>
        <v>14416.288315083873</v>
      </c>
      <c r="D54" s="504">
        <f>REVENUE!D37*'COST OF REV'!D$31</f>
        <v>11928.314038828066</v>
      </c>
      <c r="E54" s="504"/>
      <c r="F54" s="504"/>
      <c r="G54" s="504"/>
    </row>
    <row r="55" spans="1:7">
      <c r="A55" s="22" t="s">
        <v>139</v>
      </c>
      <c r="C55" s="504">
        <f>REVENUE!C38*'COST OF REV'!C$31</f>
        <v>16634.178825096777</v>
      </c>
      <c r="D55" s="504">
        <f>REVENUE!D38*'COST OF REV'!D$31</f>
        <v>13253.682265364518</v>
      </c>
      <c r="E55" s="504"/>
      <c r="F55" s="504"/>
      <c r="G55" s="504"/>
    </row>
    <row r="56" spans="1:7">
      <c r="A56" s="424" t="s">
        <v>144</v>
      </c>
      <c r="C56" s="519">
        <f>REVENUE!C39*'COST OF REV'!C$31</f>
        <v>44357.810200258071</v>
      </c>
      <c r="D56" s="519">
        <f>REVENUE!D39*'COST OF REV'!D$31</f>
        <v>39761.046796093557</v>
      </c>
      <c r="E56" s="519">
        <f>REVENUE!E39*'COST OF REV'!E$31</f>
        <v>46206.835849393545</v>
      </c>
      <c r="F56" s="519">
        <f>REVENUE!F39*'COST OF REV'!F$31</f>
        <v>48919.88725978064</v>
      </c>
      <c r="G56" s="519">
        <f>REVENUE!G39*'COST OF REV'!G$31</f>
        <v>60587.100199680011</v>
      </c>
    </row>
    <row r="57" spans="1:7" ht="14" thickBot="1">
      <c r="A57" s="426" t="s">
        <v>145</v>
      </c>
      <c r="C57" s="505">
        <f>C56+C52+C48+C44</f>
        <v>110894.52550064518</v>
      </c>
      <c r="D57" s="505">
        <f t="shared" ref="D57:G57" si="14">D56+D52+D48+D44</f>
        <v>132536.82265364518</v>
      </c>
      <c r="E57" s="505">
        <f t="shared" si="14"/>
        <v>154022.78616464513</v>
      </c>
      <c r="F57" s="505">
        <f t="shared" si="14"/>
        <v>174713.88307064516</v>
      </c>
      <c r="G57" s="505">
        <f t="shared" si="14"/>
        <v>195442.25870864518</v>
      </c>
    </row>
    <row r="63" spans="1:7">
      <c r="A63" s="409"/>
    </row>
  </sheetData>
  <pageMargins left="0.75" right="0.75" top="0.5" bottom="0.5" header="0.5" footer="0.5"/>
  <pageSetup scale="93" orientation="portrait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pageSetUpPr fitToPage="1"/>
  </sheetPr>
  <dimension ref="A1:N110"/>
  <sheetViews>
    <sheetView zoomScale="115" zoomScaleNormal="115" zoomScalePageLayoutView="115" workbookViewId="0"/>
  </sheetViews>
  <sheetFormatPr baseColWidth="10" defaultColWidth="8.7109375" defaultRowHeight="12" x14ac:dyDescent="0"/>
  <cols>
    <col min="1" max="1" width="39.85546875" style="17" bestFit="1" customWidth="1"/>
    <col min="2" max="2" width="6.140625" style="547" customWidth="1"/>
    <col min="3" max="3" width="10.7109375" style="17" customWidth="1"/>
    <col min="4" max="4" width="11.28515625" style="17" customWidth="1"/>
    <col min="5" max="5" width="10.7109375" style="17" customWidth="1"/>
    <col min="6" max="6" width="12.140625" style="17" customWidth="1"/>
    <col min="7" max="7" width="12.7109375" style="17" customWidth="1"/>
    <col min="8" max="16384" width="8.7109375" style="17"/>
  </cols>
  <sheetData>
    <row r="1" spans="1:14" ht="21">
      <c r="A1" s="136" t="str">
        <f>PERSONNEL!A1</f>
        <v>AQUAPONICS FARMING</v>
      </c>
      <c r="B1" s="546"/>
      <c r="C1" s="413"/>
      <c r="D1" s="393"/>
      <c r="E1" s="393"/>
      <c r="F1" s="393"/>
      <c r="G1" s="393"/>
    </row>
    <row r="2" spans="1:14" ht="15">
      <c r="A2" s="146" t="s">
        <v>45</v>
      </c>
    </row>
    <row r="3" spans="1:14" ht="15">
      <c r="A3" s="146" t="s">
        <v>53</v>
      </c>
    </row>
    <row r="4" spans="1:14" ht="15">
      <c r="A4" s="146" t="s">
        <v>75</v>
      </c>
      <c r="B4" s="548"/>
      <c r="N4" s="414"/>
    </row>
    <row r="5" spans="1:14" ht="15">
      <c r="C5" s="43" t="s">
        <v>54</v>
      </c>
      <c r="D5" s="43" t="s">
        <v>55</v>
      </c>
      <c r="E5" s="43" t="s">
        <v>56</v>
      </c>
      <c r="F5" s="43" t="s">
        <v>57</v>
      </c>
      <c r="G5" s="43" t="s">
        <v>58</v>
      </c>
    </row>
    <row r="6" spans="1:14">
      <c r="B6" s="548"/>
    </row>
    <row r="7" spans="1:14">
      <c r="A7" s="44" t="s">
        <v>47</v>
      </c>
      <c r="B7" s="549" t="s">
        <v>368</v>
      </c>
      <c r="C7" s="406">
        <f>REVENUE!C19</f>
        <v>810866.26619354845</v>
      </c>
      <c r="D7" s="406">
        <f>REVENUE!D19</f>
        <v>932307.66149354842</v>
      </c>
      <c r="E7" s="406">
        <f>REVENUE!E19</f>
        <v>1038115.6925935483</v>
      </c>
      <c r="F7" s="406">
        <f>REVENUE!F19</f>
        <v>1064437.0631935485</v>
      </c>
      <c r="G7" s="406">
        <f>REVENUE!G19</f>
        <v>1094486.3069935483</v>
      </c>
    </row>
    <row r="8" spans="1:14">
      <c r="C8" s="415"/>
      <c r="D8" s="415"/>
      <c r="E8" s="415"/>
      <c r="F8" s="415"/>
      <c r="G8" s="415"/>
    </row>
    <row r="9" spans="1:14">
      <c r="A9" s="530" t="s">
        <v>49</v>
      </c>
      <c r="B9" s="550"/>
      <c r="C9" s="532"/>
      <c r="D9" s="532"/>
      <c r="E9" s="532"/>
      <c r="F9" s="532"/>
      <c r="G9" s="532"/>
    </row>
    <row r="10" spans="1:14">
      <c r="A10" s="533" t="s">
        <v>157</v>
      </c>
      <c r="B10" s="549" t="s">
        <v>368</v>
      </c>
      <c r="C10" s="496">
        <f>PERSONNEL!D21</f>
        <v>81600</v>
      </c>
      <c r="D10" s="496">
        <f>PERSONNEL!E21</f>
        <v>81600</v>
      </c>
      <c r="E10" s="496">
        <f>PERSONNEL!F21</f>
        <v>81600</v>
      </c>
      <c r="F10" s="496">
        <f>PERSONNEL!G21</f>
        <v>81600</v>
      </c>
      <c r="G10" s="496">
        <f>PERSONNEL!H21</f>
        <v>81600</v>
      </c>
    </row>
    <row r="11" spans="1:14">
      <c r="A11" s="533" t="s">
        <v>209</v>
      </c>
      <c r="B11" s="534">
        <v>0.01</v>
      </c>
      <c r="C11" s="496">
        <f>$B11*C7</f>
        <v>8108.6626619354847</v>
      </c>
      <c r="D11" s="496">
        <f>$B11*D7</f>
        <v>9323.076614935484</v>
      </c>
      <c r="E11" s="496">
        <f>$B11*E7</f>
        <v>10381.156925935484</v>
      </c>
      <c r="F11" s="496">
        <f>$B11*F7</f>
        <v>10644.370631935484</v>
      </c>
      <c r="G11" s="496">
        <f>$B11*G7</f>
        <v>10944.863069935484</v>
      </c>
    </row>
    <row r="12" spans="1:14">
      <c r="A12" s="533" t="s">
        <v>370</v>
      </c>
      <c r="B12" s="549" t="s">
        <v>368</v>
      </c>
      <c r="C12" s="535">
        <v>15000</v>
      </c>
      <c r="D12" s="535">
        <v>10000</v>
      </c>
      <c r="E12" s="535">
        <v>10000</v>
      </c>
      <c r="F12" s="535">
        <v>10000</v>
      </c>
      <c r="G12" s="535">
        <v>10000</v>
      </c>
    </row>
    <row r="13" spans="1:14">
      <c r="A13" s="533"/>
      <c r="B13" s="551"/>
      <c r="C13" s="536"/>
      <c r="D13" s="536"/>
      <c r="E13" s="536"/>
      <c r="F13" s="536"/>
      <c r="G13" s="536"/>
    </row>
    <row r="14" spans="1:14">
      <c r="A14" s="537" t="s">
        <v>301</v>
      </c>
      <c r="B14" s="538">
        <v>0.01</v>
      </c>
      <c r="C14" s="497">
        <f>$B14*C7</f>
        <v>8108.6626619354847</v>
      </c>
      <c r="D14" s="497">
        <f>$B14*D7</f>
        <v>9323.076614935484</v>
      </c>
      <c r="E14" s="497">
        <f>$B14*E7</f>
        <v>10381.156925935484</v>
      </c>
      <c r="F14" s="497">
        <f>$B14*F7</f>
        <v>10644.370631935484</v>
      </c>
      <c r="G14" s="497">
        <f>$B14*G7</f>
        <v>10944.863069935484</v>
      </c>
    </row>
    <row r="15" spans="1:14">
      <c r="A15" s="539" t="s">
        <v>440</v>
      </c>
      <c r="B15" s="549" t="s">
        <v>368</v>
      </c>
      <c r="C15" s="545">
        <f>SUM(C10:C14)</f>
        <v>112817.32532387096</v>
      </c>
      <c r="D15" s="545">
        <f>SUM(D10:D14)</f>
        <v>110246.15322987098</v>
      </c>
      <c r="E15" s="545">
        <f>SUM(E10:E14)</f>
        <v>112362.31385187097</v>
      </c>
      <c r="F15" s="545">
        <f>SUM(F10:F14)</f>
        <v>112888.74126387096</v>
      </c>
      <c r="G15" s="545">
        <f>SUM(G10:G14)</f>
        <v>113489.72613987097</v>
      </c>
    </row>
    <row r="16" spans="1:14">
      <c r="A16" s="540" t="s">
        <v>46</v>
      </c>
      <c r="B16" s="552"/>
      <c r="C16" s="541">
        <f>C15/C7</f>
        <v>0.13913185198031436</v>
      </c>
      <c r="D16" s="542">
        <f>D15/D7</f>
        <v>0.118250828329843</v>
      </c>
      <c r="E16" s="542">
        <f>E15/E7</f>
        <v>0.1082367935033846</v>
      </c>
      <c r="F16" s="542">
        <f>F15/F7</f>
        <v>0.10605487648577322</v>
      </c>
      <c r="G16" s="542">
        <f>G15/G7</f>
        <v>0.10369223024051955</v>
      </c>
    </row>
    <row r="17" spans="1:7">
      <c r="B17" s="553"/>
    </row>
    <row r="18" spans="1:7">
      <c r="A18" s="530" t="s">
        <v>408</v>
      </c>
      <c r="B18" s="554"/>
      <c r="C18" s="531"/>
      <c r="D18" s="531"/>
      <c r="E18" s="531"/>
      <c r="F18" s="531"/>
      <c r="G18" s="531"/>
    </row>
    <row r="19" spans="1:7">
      <c r="A19" s="533" t="s">
        <v>157</v>
      </c>
      <c r="B19" s="549" t="s">
        <v>368</v>
      </c>
      <c r="C19" s="496">
        <f>PERSONNEL!D35</f>
        <v>112200</v>
      </c>
      <c r="D19" s="496">
        <f>PERSONNEL!E35</f>
        <v>112200</v>
      </c>
      <c r="E19" s="496">
        <f>PERSONNEL!F35</f>
        <v>112200</v>
      </c>
      <c r="F19" s="496">
        <f>PERSONNEL!G35</f>
        <v>112200</v>
      </c>
      <c r="G19" s="496">
        <f>PERSONNEL!H35</f>
        <v>112200</v>
      </c>
    </row>
    <row r="20" spans="1:7">
      <c r="A20" s="533" t="s">
        <v>426</v>
      </c>
      <c r="B20" s="546"/>
      <c r="C20" s="536"/>
      <c r="D20" s="536"/>
      <c r="E20" s="536"/>
      <c r="F20" s="536"/>
      <c r="G20" s="536"/>
    </row>
    <row r="21" spans="1:7">
      <c r="A21" s="537" t="s">
        <v>301</v>
      </c>
      <c r="B21" s="538">
        <v>0.01</v>
      </c>
      <c r="C21" s="496">
        <f>C7*$B$21</f>
        <v>8108.6626619354847</v>
      </c>
      <c r="D21" s="496">
        <f t="shared" ref="D21:G21" si="0">D7*$B$21</f>
        <v>9323.076614935484</v>
      </c>
      <c r="E21" s="496">
        <f t="shared" si="0"/>
        <v>10381.156925935484</v>
      </c>
      <c r="F21" s="496">
        <f t="shared" si="0"/>
        <v>10644.370631935484</v>
      </c>
      <c r="G21" s="496">
        <f t="shared" si="0"/>
        <v>10944.863069935484</v>
      </c>
    </row>
    <row r="22" spans="1:7">
      <c r="A22" s="539" t="s">
        <v>439</v>
      </c>
      <c r="B22" s="549" t="s">
        <v>368</v>
      </c>
      <c r="C22" s="425">
        <f>SUM(C19:C21)</f>
        <v>120308.66266193548</v>
      </c>
      <c r="D22" s="425">
        <f>SUM(D19:D21)</f>
        <v>121523.07661493549</v>
      </c>
      <c r="E22" s="425">
        <f>SUM(E19:E21)</f>
        <v>122581.15692593549</v>
      </c>
      <c r="F22" s="425">
        <f>SUM(F19:F21)</f>
        <v>122844.37063193548</v>
      </c>
      <c r="G22" s="425">
        <f>SUM(G19:G21)</f>
        <v>123144.86306993548</v>
      </c>
    </row>
    <row r="23" spans="1:7">
      <c r="A23" s="540" t="s">
        <v>46</v>
      </c>
      <c r="B23" s="552"/>
      <c r="C23" s="542">
        <f>C22/C7</f>
        <v>0.14837053615104837</v>
      </c>
      <c r="D23" s="542">
        <f>D22/D7</f>
        <v>0.13034653863109591</v>
      </c>
      <c r="E23" s="542">
        <f>E22/E7</f>
        <v>0.11808043920392741</v>
      </c>
      <c r="F23" s="542">
        <f>F22/F7</f>
        <v>0.11540782905790126</v>
      </c>
      <c r="G23" s="542">
        <f>G22/G7</f>
        <v>0.11251384533827831</v>
      </c>
    </row>
    <row r="24" spans="1:7">
      <c r="A24" s="543"/>
      <c r="B24" s="555"/>
      <c r="C24" s="544"/>
      <c r="D24" s="544"/>
      <c r="E24" s="544"/>
      <c r="F24" s="544"/>
      <c r="G24" s="544"/>
    </row>
    <row r="25" spans="1:7">
      <c r="A25" s="530" t="s">
        <v>407</v>
      </c>
      <c r="B25" s="554"/>
      <c r="C25" s="531"/>
      <c r="D25" s="531"/>
      <c r="E25" s="531"/>
      <c r="F25" s="531"/>
      <c r="G25" s="531"/>
    </row>
    <row r="26" spans="1:7">
      <c r="A26" s="533" t="s">
        <v>157</v>
      </c>
      <c r="B26" s="549" t="s">
        <v>368</v>
      </c>
      <c r="C26" s="496">
        <f>PERSONNEL!D51</f>
        <v>147900</v>
      </c>
      <c r="D26" s="496">
        <f>PERSONNEL!E51</f>
        <v>147900</v>
      </c>
      <c r="E26" s="496">
        <f>PERSONNEL!F51</f>
        <v>147900</v>
      </c>
      <c r="F26" s="496">
        <f>PERSONNEL!G51</f>
        <v>147900</v>
      </c>
      <c r="G26" s="496">
        <f>PERSONNEL!H51</f>
        <v>147900</v>
      </c>
    </row>
    <row r="27" spans="1:7">
      <c r="A27" s="533" t="s">
        <v>426</v>
      </c>
      <c r="B27" s="546"/>
      <c r="C27" s="536"/>
      <c r="D27" s="536"/>
      <c r="E27" s="536"/>
      <c r="F27" s="536"/>
      <c r="G27" s="536"/>
    </row>
    <row r="28" spans="1:7">
      <c r="A28" s="537" t="s">
        <v>301</v>
      </c>
      <c r="B28" s="538">
        <v>0.01</v>
      </c>
      <c r="C28" s="496">
        <f>$B$28*C7</f>
        <v>8108.6626619354847</v>
      </c>
      <c r="D28" s="496">
        <f t="shared" ref="D28:G28" si="1">$B$28*D7</f>
        <v>9323.076614935484</v>
      </c>
      <c r="E28" s="496">
        <f t="shared" si="1"/>
        <v>10381.156925935484</v>
      </c>
      <c r="F28" s="496">
        <f t="shared" si="1"/>
        <v>10644.370631935484</v>
      </c>
      <c r="G28" s="496">
        <f t="shared" si="1"/>
        <v>10944.863069935484</v>
      </c>
    </row>
    <row r="29" spans="1:7">
      <c r="A29" s="539" t="s">
        <v>438</v>
      </c>
      <c r="B29" s="549" t="s">
        <v>368</v>
      </c>
      <c r="C29" s="425">
        <f>SUM(C26:C28)</f>
        <v>156008.66266193549</v>
      </c>
      <c r="D29" s="425">
        <f>SUM(D26:D28)</f>
        <v>157223.07661493547</v>
      </c>
      <c r="E29" s="425">
        <f>SUM(E26:E28)</f>
        <v>158281.15692593547</v>
      </c>
      <c r="F29" s="425">
        <f>SUM(F26:F28)</f>
        <v>158544.37063193548</v>
      </c>
      <c r="G29" s="425">
        <f>SUM(G26:G28)</f>
        <v>158844.86306993547</v>
      </c>
    </row>
    <row r="30" spans="1:7">
      <c r="A30" s="540" t="s">
        <v>46</v>
      </c>
      <c r="B30" s="552"/>
      <c r="C30" s="542">
        <f>C29/C7</f>
        <v>0.19239752492638193</v>
      </c>
      <c r="D30" s="542">
        <f>D29/D7</f>
        <v>0.16863861910462641</v>
      </c>
      <c r="E30" s="542">
        <f>E29/E7</f>
        <v>0.15246966985972249</v>
      </c>
      <c r="F30" s="542">
        <f>F29/F7</f>
        <v>0.14894668375814257</v>
      </c>
      <c r="G30" s="542">
        <f>G29/G7</f>
        <v>0.14513188703682139</v>
      </c>
    </row>
    <row r="31" spans="1:7">
      <c r="A31" s="543"/>
      <c r="B31" s="555"/>
      <c r="C31" s="544"/>
      <c r="D31" s="544"/>
      <c r="E31" s="544"/>
      <c r="F31" s="544"/>
      <c r="G31" s="544"/>
    </row>
    <row r="32" spans="1:7">
      <c r="A32" s="530" t="s">
        <v>415</v>
      </c>
      <c r="B32" s="554"/>
      <c r="C32" s="531"/>
      <c r="D32" s="531"/>
      <c r="E32" s="531"/>
      <c r="F32" s="531"/>
      <c r="G32" s="531"/>
    </row>
    <row r="33" spans="1:7">
      <c r="A33" s="533" t="s">
        <v>157</v>
      </c>
      <c r="B33" s="549" t="s">
        <v>368</v>
      </c>
      <c r="C33" s="496">
        <f>PERSONNEL!D64</f>
        <v>41000</v>
      </c>
      <c r="D33" s="496">
        <f>PERSONNEL!E64</f>
        <v>41000</v>
      </c>
      <c r="E33" s="496">
        <f>PERSONNEL!F64</f>
        <v>41000</v>
      </c>
      <c r="F33" s="496">
        <f>PERSONNEL!G64</f>
        <v>41000</v>
      </c>
      <c r="G33" s="496">
        <f>PERSONNEL!H64</f>
        <v>41000</v>
      </c>
    </row>
    <row r="34" spans="1:7">
      <c r="A34" s="533" t="s">
        <v>426</v>
      </c>
      <c r="B34" s="546"/>
      <c r="C34" s="536"/>
      <c r="D34" s="536"/>
      <c r="E34" s="536"/>
      <c r="F34" s="536"/>
      <c r="G34" s="536"/>
    </row>
    <row r="35" spans="1:7">
      <c r="A35" s="537" t="s">
        <v>301</v>
      </c>
      <c r="B35" s="538">
        <v>0.01</v>
      </c>
      <c r="C35" s="496">
        <f>$B35*C7</f>
        <v>8108.6626619354847</v>
      </c>
      <c r="D35" s="496">
        <f>$B35*D7</f>
        <v>9323.076614935484</v>
      </c>
      <c r="E35" s="496">
        <f>$B35*E7</f>
        <v>10381.156925935484</v>
      </c>
      <c r="F35" s="496">
        <f>$B35*F7</f>
        <v>10644.370631935484</v>
      </c>
      <c r="G35" s="496">
        <f>$B35*G7</f>
        <v>10944.863069935484</v>
      </c>
    </row>
    <row r="36" spans="1:7">
      <c r="A36" s="539" t="s">
        <v>437</v>
      </c>
      <c r="B36" s="549" t="s">
        <v>368</v>
      </c>
      <c r="C36" s="425">
        <f>SUM(C33:C35)</f>
        <v>49108.662661935487</v>
      </c>
      <c r="D36" s="425">
        <f>SUM(D33:D35)</f>
        <v>50323.076614935482</v>
      </c>
      <c r="E36" s="425">
        <f>SUM(E33:E35)</f>
        <v>51381.156925935487</v>
      </c>
      <c r="F36" s="425">
        <f>SUM(F33:F35)</f>
        <v>51644.370631935482</v>
      </c>
      <c r="G36" s="425">
        <f>SUM(G33:G35)</f>
        <v>51944.863069935484</v>
      </c>
    </row>
    <row r="37" spans="1:7">
      <c r="A37" s="540" t="s">
        <v>46</v>
      </c>
      <c r="B37" s="552"/>
      <c r="C37" s="542">
        <f>C36/C7</f>
        <v>6.056320839744192E-2</v>
      </c>
      <c r="D37" s="542">
        <f>D36/D7</f>
        <v>5.3976899143270335E-2</v>
      </c>
      <c r="E37" s="542">
        <f>E36/E7</f>
        <v>4.9494634646711444E-2</v>
      </c>
      <c r="F37" s="542">
        <f>F36/F7</f>
        <v>4.8518012400837356E-2</v>
      </c>
      <c r="G37" s="542">
        <f>G36/G7</f>
        <v>4.746049606835482E-2</v>
      </c>
    </row>
    <row r="38" spans="1:7">
      <c r="A38" s="543"/>
      <c r="B38" s="555"/>
      <c r="C38" s="544"/>
      <c r="D38" s="544"/>
      <c r="E38" s="544"/>
      <c r="F38" s="544"/>
      <c r="G38" s="544"/>
    </row>
    <row r="39" spans="1:7">
      <c r="A39" s="530" t="s">
        <v>425</v>
      </c>
      <c r="B39" s="554"/>
      <c r="C39" s="531"/>
      <c r="D39" s="531"/>
      <c r="E39" s="531"/>
      <c r="F39" s="531"/>
      <c r="G39" s="531"/>
    </row>
    <row r="40" spans="1:7">
      <c r="A40" s="533" t="s">
        <v>157</v>
      </c>
      <c r="B40" s="549" t="s">
        <v>368</v>
      </c>
      <c r="C40" s="496">
        <f>PERSONNEL!D75</f>
        <v>101000</v>
      </c>
      <c r="D40" s="496">
        <f>PERSONNEL!E75</f>
        <v>101000</v>
      </c>
      <c r="E40" s="496">
        <f>PERSONNEL!F75</f>
        <v>101000</v>
      </c>
      <c r="F40" s="496">
        <f>PERSONNEL!G75</f>
        <v>101000</v>
      </c>
      <c r="G40" s="496">
        <f>PERSONNEL!H75</f>
        <v>101000</v>
      </c>
    </row>
    <row r="41" spans="1:7">
      <c r="A41" s="533" t="s">
        <v>426</v>
      </c>
      <c r="B41" s="546"/>
      <c r="C41" s="536"/>
      <c r="D41" s="536"/>
      <c r="E41" s="536"/>
      <c r="F41" s="536"/>
      <c r="G41" s="536"/>
    </row>
    <row r="42" spans="1:7">
      <c r="A42" s="537" t="s">
        <v>301</v>
      </c>
      <c r="B42" s="538">
        <v>0.01</v>
      </c>
      <c r="C42" s="496">
        <f>$B42*C7</f>
        <v>8108.6626619354847</v>
      </c>
      <c r="D42" s="496">
        <f>$B42*D7</f>
        <v>9323.076614935484</v>
      </c>
      <c r="E42" s="496">
        <f>$B42*E7</f>
        <v>10381.156925935484</v>
      </c>
      <c r="F42" s="496">
        <f>$B42*F7</f>
        <v>10644.370631935484</v>
      </c>
      <c r="G42" s="496">
        <f>$B42*G7</f>
        <v>10944.863069935484</v>
      </c>
    </row>
    <row r="43" spans="1:7">
      <c r="A43" s="539" t="s">
        <v>427</v>
      </c>
      <c r="B43" s="549" t="s">
        <v>368</v>
      </c>
      <c r="C43" s="425">
        <f>SUM(C40:C42)</f>
        <v>109108.66266193548</v>
      </c>
      <c r="D43" s="425">
        <f>SUM(D40:D42)</f>
        <v>110323.07661493549</v>
      </c>
      <c r="E43" s="425">
        <f>SUM(E40:E42)</f>
        <v>111381.15692593549</v>
      </c>
      <c r="F43" s="425">
        <f>SUM(F40:F42)</f>
        <v>111644.37063193548</v>
      </c>
      <c r="G43" s="425">
        <f>SUM(G40:G42)</f>
        <v>111944.86306993548</v>
      </c>
    </row>
    <row r="44" spans="1:7">
      <c r="A44" s="540" t="s">
        <v>46</v>
      </c>
      <c r="B44" s="552"/>
      <c r="C44" s="542">
        <f>C43/C7</f>
        <v>0.1345581475156496</v>
      </c>
      <c r="D44" s="542">
        <f t="shared" ref="D44:G44" si="2">D43/D7</f>
        <v>0.11833333691390986</v>
      </c>
      <c r="E44" s="542">
        <f t="shared" si="2"/>
        <v>0.10729166095897209</v>
      </c>
      <c r="F44" s="542">
        <f t="shared" si="2"/>
        <v>0.10488583542645301</v>
      </c>
      <c r="G44" s="542">
        <f t="shared" si="2"/>
        <v>0.10228073421716674</v>
      </c>
    </row>
    <row r="45" spans="1:7">
      <c r="A45" s="543"/>
      <c r="B45" s="555"/>
      <c r="C45" s="544"/>
      <c r="D45" s="544"/>
      <c r="E45" s="544"/>
      <c r="F45" s="544"/>
      <c r="G45" s="544"/>
    </row>
    <row r="46" spans="1:7">
      <c r="A46" s="530" t="s">
        <v>371</v>
      </c>
      <c r="B46" s="554"/>
      <c r="C46" s="531"/>
      <c r="D46" s="531"/>
      <c r="E46" s="531"/>
      <c r="F46" s="531"/>
      <c r="G46" s="531"/>
    </row>
    <row r="47" spans="1:7">
      <c r="A47" s="533" t="s">
        <v>429</v>
      </c>
      <c r="B47" s="549" t="s">
        <v>368</v>
      </c>
      <c r="C47" s="496">
        <f>('PROJ SPECS'!B33+'PROJ SPECS'!B35*2)*0.02</f>
        <v>8446.9728000000014</v>
      </c>
      <c r="D47" s="496">
        <f>C47+(C47*0.25)</f>
        <v>10558.716000000002</v>
      </c>
      <c r="E47" s="496">
        <f t="shared" ref="E47:G47" si="3">D47+(D47*0.25)</f>
        <v>13198.395000000002</v>
      </c>
      <c r="F47" s="496">
        <f t="shared" si="3"/>
        <v>16497.993750000001</v>
      </c>
      <c r="G47" s="496">
        <f t="shared" si="3"/>
        <v>20622.4921875</v>
      </c>
    </row>
    <row r="48" spans="1:7">
      <c r="A48" s="533" t="s">
        <v>375</v>
      </c>
      <c r="B48" s="549" t="s">
        <v>368</v>
      </c>
      <c r="C48" s="535">
        <v>500</v>
      </c>
      <c r="D48" s="535">
        <v>500</v>
      </c>
      <c r="E48" s="535">
        <v>500</v>
      </c>
      <c r="F48" s="535">
        <v>500</v>
      </c>
      <c r="G48" s="535">
        <v>500</v>
      </c>
    </row>
    <row r="49" spans="1:7">
      <c r="A49" s="533" t="s">
        <v>380</v>
      </c>
      <c r="B49" s="549" t="s">
        <v>368</v>
      </c>
      <c r="C49" s="535">
        <v>1000</v>
      </c>
      <c r="D49" s="535">
        <v>1000</v>
      </c>
      <c r="E49" s="535">
        <v>1000</v>
      </c>
      <c r="F49" s="535">
        <v>1000</v>
      </c>
      <c r="G49" s="535">
        <v>1000</v>
      </c>
    </row>
    <row r="50" spans="1:7">
      <c r="A50" s="533" t="s">
        <v>357</v>
      </c>
      <c r="B50" s="549" t="s">
        <v>368</v>
      </c>
      <c r="C50" s="496">
        <f>'PROJ SPECS'!$B22*'PROJ SPECS'!$D22</f>
        <v>15730.322580645163</v>
      </c>
      <c r="D50" s="496">
        <f>'PROJ SPECS'!$B22*'PROJ SPECS'!$D22</f>
        <v>15730.322580645163</v>
      </c>
      <c r="E50" s="496">
        <f>'PROJ SPECS'!$B22*'PROJ SPECS'!$D22</f>
        <v>15730.322580645163</v>
      </c>
      <c r="F50" s="496">
        <f>'PROJ SPECS'!$B22*'PROJ SPECS'!$D22</f>
        <v>15730.322580645163</v>
      </c>
      <c r="G50" s="496">
        <f>'PROJ SPECS'!$B22*'PROJ SPECS'!$D22</f>
        <v>15730.322580645163</v>
      </c>
    </row>
    <row r="51" spans="1:7">
      <c r="A51" s="533" t="s">
        <v>373</v>
      </c>
      <c r="B51" s="549" t="s">
        <v>368</v>
      </c>
      <c r="C51" s="496">
        <f>'PROJ SPECS'!B21*2*1</f>
        <v>7182.7956989247314</v>
      </c>
      <c r="D51" s="496">
        <f>C51</f>
        <v>7182.7956989247314</v>
      </c>
      <c r="E51" s="496">
        <f t="shared" ref="E51:G51" si="4">D51</f>
        <v>7182.7956989247314</v>
      </c>
      <c r="F51" s="496">
        <f t="shared" si="4"/>
        <v>7182.7956989247314</v>
      </c>
      <c r="G51" s="496">
        <f t="shared" si="4"/>
        <v>7182.7956989247314</v>
      </c>
    </row>
    <row r="52" spans="1:7">
      <c r="A52" s="533" t="s">
        <v>377</v>
      </c>
      <c r="B52" s="549" t="s">
        <v>368</v>
      </c>
      <c r="C52" s="535">
        <v>5000</v>
      </c>
      <c r="D52" s="535">
        <v>5000</v>
      </c>
      <c r="E52" s="535">
        <v>5000</v>
      </c>
      <c r="F52" s="535">
        <v>5000</v>
      </c>
      <c r="G52" s="535">
        <v>5000</v>
      </c>
    </row>
    <row r="53" spans="1:7">
      <c r="A53" s="533" t="s">
        <v>434</v>
      </c>
      <c r="B53" s="549" t="s">
        <v>368</v>
      </c>
      <c r="C53" s="535">
        <v>12000</v>
      </c>
      <c r="D53" s="535">
        <v>12000</v>
      </c>
      <c r="E53" s="535">
        <v>12000</v>
      </c>
      <c r="F53" s="535">
        <v>12000</v>
      </c>
      <c r="G53" s="535">
        <v>12000</v>
      </c>
    </row>
    <row r="54" spans="1:7">
      <c r="A54" s="533" t="s">
        <v>398</v>
      </c>
      <c r="B54" s="549" t="s">
        <v>368</v>
      </c>
      <c r="C54" s="535">
        <v>12000</v>
      </c>
      <c r="D54" s="535">
        <v>12000</v>
      </c>
      <c r="E54" s="535">
        <v>12000</v>
      </c>
      <c r="F54" s="535">
        <v>12000</v>
      </c>
      <c r="G54" s="535">
        <v>12000</v>
      </c>
    </row>
    <row r="55" spans="1:7">
      <c r="A55" s="533" t="s">
        <v>372</v>
      </c>
      <c r="B55" s="549" t="s">
        <v>368</v>
      </c>
      <c r="C55" s="535">
        <v>15000</v>
      </c>
      <c r="D55" s="535">
        <v>5000</v>
      </c>
      <c r="E55" s="535">
        <v>5000</v>
      </c>
      <c r="F55" s="535">
        <v>5000</v>
      </c>
      <c r="G55" s="535">
        <v>5000</v>
      </c>
    </row>
    <row r="56" spans="1:7">
      <c r="A56" s="533" t="s">
        <v>376</v>
      </c>
      <c r="B56" s="549" t="s">
        <v>368</v>
      </c>
      <c r="C56" s="535">
        <v>5000</v>
      </c>
      <c r="D56" s="535">
        <v>5000</v>
      </c>
      <c r="E56" s="535">
        <v>5000</v>
      </c>
      <c r="F56" s="535">
        <v>5000</v>
      </c>
      <c r="G56" s="535">
        <v>5000</v>
      </c>
    </row>
    <row r="57" spans="1:7">
      <c r="A57" s="533"/>
      <c r="B57" s="546"/>
      <c r="C57" s="536"/>
      <c r="D57" s="536"/>
      <c r="E57" s="536"/>
      <c r="F57" s="536"/>
      <c r="G57" s="536"/>
    </row>
    <row r="58" spans="1:7">
      <c r="A58" s="537" t="s">
        <v>301</v>
      </c>
      <c r="B58" s="538">
        <v>0.01</v>
      </c>
      <c r="C58" s="497">
        <f>$B58*C7</f>
        <v>8108.6626619354847</v>
      </c>
      <c r="D58" s="497">
        <f>$B58*D7</f>
        <v>9323.076614935484</v>
      </c>
      <c r="E58" s="497">
        <f>$B58*E7</f>
        <v>10381.156925935484</v>
      </c>
      <c r="F58" s="497">
        <f>$B58*F7</f>
        <v>10644.370631935484</v>
      </c>
      <c r="G58" s="497">
        <f>$B58*G7</f>
        <v>10944.863069935484</v>
      </c>
    </row>
    <row r="59" spans="1:7">
      <c r="A59" s="543" t="s">
        <v>374</v>
      </c>
      <c r="B59" s="549" t="s">
        <v>368</v>
      </c>
      <c r="C59" s="425">
        <f>SUM(C47:C58)</f>
        <v>89968.753741505367</v>
      </c>
      <c r="D59" s="425">
        <f>SUM(D47:D58)</f>
        <v>83294.910894505389</v>
      </c>
      <c r="E59" s="425">
        <f>SUM(E47:E58)</f>
        <v>86992.670205505376</v>
      </c>
      <c r="F59" s="425">
        <f>SUM(F47:F58)</f>
        <v>90555.482661505375</v>
      </c>
      <c r="G59" s="425">
        <f>SUM(G47:G58)</f>
        <v>94980.473537005382</v>
      </c>
    </row>
    <row r="60" spans="1:7">
      <c r="A60" s="540" t="s">
        <v>46</v>
      </c>
      <c r="B60" s="552"/>
      <c r="C60" s="542">
        <f>C59/C7</f>
        <v>0.11095387426072849</v>
      </c>
      <c r="D60" s="542">
        <f>D59/D7</f>
        <v>8.9342729159886655E-2</v>
      </c>
      <c r="E60" s="542">
        <f>E59/E7</f>
        <v>8.3798627480690113E-2</v>
      </c>
      <c r="F60" s="542">
        <f>F59/F7</f>
        <v>8.507359034438236E-2</v>
      </c>
      <c r="G60" s="542">
        <f>G59/G7</f>
        <v>8.6780869646426076E-2</v>
      </c>
    </row>
    <row r="61" spans="1:7">
      <c r="B61" s="553"/>
    </row>
    <row r="62" spans="1:7" ht="13" thickBot="1">
      <c r="A62" s="44" t="s">
        <v>106</v>
      </c>
      <c r="B62" s="549" t="s">
        <v>368</v>
      </c>
      <c r="C62" s="420">
        <f>C15+C22+C29+C36+C43+C59</f>
        <v>637320.72971311817</v>
      </c>
      <c r="D62" s="420">
        <f t="shared" ref="D62:G62" si="5">D15+D22+D29+D36+D43+D59</f>
        <v>632933.37058411841</v>
      </c>
      <c r="E62" s="420">
        <f t="shared" si="5"/>
        <v>642979.61176111829</v>
      </c>
      <c r="F62" s="420">
        <f t="shared" si="5"/>
        <v>648121.70645311824</v>
      </c>
      <c r="G62" s="420">
        <f t="shared" si="5"/>
        <v>654349.6519566183</v>
      </c>
    </row>
    <row r="63" spans="1:7" ht="13" thickTop="1">
      <c r="A63" s="409" t="s">
        <v>108</v>
      </c>
      <c r="C63" s="419">
        <f>C62/C7</f>
        <v>0.78597514323156448</v>
      </c>
      <c r="D63" s="419">
        <f>D62/D7</f>
        <v>0.67888895128263227</v>
      </c>
      <c r="E63" s="419">
        <f>E62/E7</f>
        <v>0.6193718256534082</v>
      </c>
      <c r="F63" s="419">
        <f>F62/F7</f>
        <v>0.60888682747348977</v>
      </c>
      <c r="G63" s="419">
        <f>G62/G7</f>
        <v>0.59786006254756696</v>
      </c>
    </row>
    <row r="64" spans="1:7">
      <c r="A64" s="409"/>
      <c r="C64" s="421"/>
      <c r="D64" s="421"/>
      <c r="E64" s="421"/>
      <c r="F64" s="421"/>
      <c r="G64" s="421"/>
    </row>
    <row r="65" spans="1:7">
      <c r="A65" s="44" t="s">
        <v>305</v>
      </c>
      <c r="B65" s="556"/>
      <c r="C65" s="421"/>
      <c r="D65" s="421"/>
      <c r="E65" s="421"/>
      <c r="F65" s="421"/>
      <c r="G65" s="421"/>
    </row>
    <row r="66" spans="1:7">
      <c r="A66" s="422" t="s">
        <v>110</v>
      </c>
      <c r="B66" s="549" t="s">
        <v>368</v>
      </c>
      <c r="C66" s="496">
        <f>C11+C12+C14+C21+C28+C35+C43+C59</f>
        <v>254620.72971311829</v>
      </c>
      <c r="D66" s="496">
        <f>D11+D12+D14+D21+D28+D35+D43+D59</f>
        <v>250233.3705841183</v>
      </c>
      <c r="E66" s="496">
        <f>E11+E12+E14+E21+E28+E35+E43+E59</f>
        <v>260279.61176111829</v>
      </c>
      <c r="F66" s="496">
        <f>F11+F12+F14+F21+F28+F35+F43+F59</f>
        <v>265421.70645311824</v>
      </c>
      <c r="G66" s="496">
        <f>G11+G12+G14+G21+G28+G35+G43+G59</f>
        <v>271649.6519566183</v>
      </c>
    </row>
    <row r="67" spans="1:7">
      <c r="A67" s="422" t="s">
        <v>109</v>
      </c>
      <c r="B67" s="549" t="s">
        <v>368</v>
      </c>
      <c r="C67" s="497">
        <f>C10+C19+C26+C33</f>
        <v>382700</v>
      </c>
      <c r="D67" s="497">
        <f>D10+D19+D26+D33</f>
        <v>382700</v>
      </c>
      <c r="E67" s="497">
        <f>E10+E19+E26+E33</f>
        <v>382700</v>
      </c>
      <c r="F67" s="497">
        <f>F10+F19+F26+F33</f>
        <v>382700</v>
      </c>
      <c r="G67" s="497">
        <f>G10+G19+G26+G33</f>
        <v>382700</v>
      </c>
    </row>
    <row r="68" spans="1:7">
      <c r="A68" s="418" t="s">
        <v>111</v>
      </c>
      <c r="B68" s="549" t="s">
        <v>368</v>
      </c>
      <c r="C68" s="417">
        <f>C66+C67</f>
        <v>637320.72971311829</v>
      </c>
      <c r="D68" s="417">
        <f>D66+D67</f>
        <v>632933.3705841183</v>
      </c>
      <c r="E68" s="417">
        <f>E66+E67</f>
        <v>642979.61176111829</v>
      </c>
      <c r="F68" s="417">
        <f>F66+F67</f>
        <v>648121.70645311824</v>
      </c>
      <c r="G68" s="417">
        <f>G66+G67</f>
        <v>654349.6519566183</v>
      </c>
    </row>
    <row r="69" spans="1:7">
      <c r="A69" s="418"/>
      <c r="B69" s="556"/>
    </row>
    <row r="70" spans="1:7" ht="15">
      <c r="A70" s="22"/>
      <c r="B70" s="423"/>
      <c r="C70" s="22"/>
      <c r="D70" s="213" t="s">
        <v>428</v>
      </c>
      <c r="E70" s="423"/>
      <c r="F70" s="423"/>
      <c r="G70" s="22"/>
    </row>
    <row r="71" spans="1:7" ht="15">
      <c r="A71" s="22"/>
      <c r="B71" s="423"/>
      <c r="C71" s="22"/>
      <c r="D71" s="213" t="s">
        <v>75</v>
      </c>
      <c r="E71" s="423"/>
      <c r="F71" s="423"/>
      <c r="G71" s="22"/>
    </row>
    <row r="72" spans="1:7" ht="15">
      <c r="A72" s="22"/>
      <c r="B72" s="423"/>
      <c r="C72" s="47" t="s">
        <v>54</v>
      </c>
      <c r="D72" s="47" t="s">
        <v>55</v>
      </c>
      <c r="E72" s="47" t="s">
        <v>56</v>
      </c>
      <c r="F72" s="47" t="s">
        <v>57</v>
      </c>
      <c r="G72" s="47" t="s">
        <v>58</v>
      </c>
    </row>
    <row r="73" spans="1:7">
      <c r="A73" s="22" t="s">
        <v>128</v>
      </c>
      <c r="C73" s="495">
        <f>REVENUE!C24*($C$16+$C$23+$C$30+$C$37+$C$44)</f>
        <v>0</v>
      </c>
      <c r="D73" s="495">
        <f>REVENUE!D24*'OPER EXP'!D$16</f>
        <v>8819.6922583896776</v>
      </c>
      <c r="E73" s="495"/>
      <c r="F73" s="495"/>
      <c r="G73" s="495"/>
    </row>
    <row r="74" spans="1:7">
      <c r="A74" s="22" t="s">
        <v>129</v>
      </c>
      <c r="C74" s="495">
        <f>REVENUE!C25*($C$16+$C$23+$C$30+$C$37+$C$44)</f>
        <v>0</v>
      </c>
      <c r="D74" s="495">
        <f>REVENUE!D25*'OPER EXP'!D$16</f>
        <v>8819.6922583896776</v>
      </c>
      <c r="E74" s="495"/>
      <c r="F74" s="495"/>
      <c r="G74" s="495"/>
    </row>
    <row r="75" spans="1:7">
      <c r="A75" s="22" t="s">
        <v>130</v>
      </c>
      <c r="C75" s="495">
        <f>REVENUE!C26*($C$16+$C$23+$C$30+$C$37+$C$44)</f>
        <v>0</v>
      </c>
      <c r="D75" s="497">
        <f>REVENUE!D26*'OPER EXP'!D$16</f>
        <v>8819.6922583896776</v>
      </c>
      <c r="E75" s="497"/>
      <c r="F75" s="497"/>
      <c r="G75" s="497"/>
    </row>
    <row r="76" spans="1:7">
      <c r="A76" s="424" t="s">
        <v>141</v>
      </c>
      <c r="C76" s="498">
        <f>REVENUE!C27*'OPER EXP'!C$16</f>
        <v>0</v>
      </c>
      <c r="D76" s="498">
        <f>REVENUE!D27*'OPER EXP'!D$16</f>
        <v>26459.076775169036</v>
      </c>
      <c r="E76" s="498">
        <f>REVENUE!E27*'OPER EXP'!E$16</f>
        <v>26966.955324449034</v>
      </c>
      <c r="F76" s="498">
        <f>REVENUE!F27*'OPER EXP'!F$16</f>
        <v>29351.072728606458</v>
      </c>
      <c r="G76" s="498">
        <f>REVENUE!G27*'OPER EXP'!G$16</f>
        <v>27237.534273569032</v>
      </c>
    </row>
    <row r="77" spans="1:7">
      <c r="A77" s="22" t="s">
        <v>131</v>
      </c>
      <c r="C77" s="495">
        <f>REVENUE!C28*($C$16+$C$23+$C$30+$C$37+$C$44)</f>
        <v>27367.598798580646</v>
      </c>
      <c r="D77" s="495">
        <f>REVENUE!D28*'OPER EXP'!D$16</f>
        <v>8819.6922583896776</v>
      </c>
      <c r="E77" s="495"/>
      <c r="F77" s="495"/>
      <c r="G77" s="495"/>
    </row>
    <row r="78" spans="1:7">
      <c r="A78" s="22" t="s">
        <v>132</v>
      </c>
      <c r="C78" s="495">
        <f>REVENUE!C29*($C$16+$C$23+$C$30+$C$37+$C$44)</f>
        <v>43788.158077729029</v>
      </c>
      <c r="D78" s="495">
        <f>REVENUE!D29*'OPER EXP'!D$16</f>
        <v>7717.2307260909693</v>
      </c>
      <c r="E78" s="495"/>
      <c r="F78" s="495"/>
      <c r="G78" s="495"/>
    </row>
    <row r="79" spans="1:7">
      <c r="A79" s="22" t="s">
        <v>133</v>
      </c>
      <c r="C79" s="495">
        <f>REVENUE!C30*($C$16+$C$23+$C$30+$C$37+$C$44)</f>
        <v>54735.197597161292</v>
      </c>
      <c r="D79" s="497">
        <f>REVENUE!D30*'OPER EXP'!D$16</f>
        <v>7717.2307260909693</v>
      </c>
      <c r="E79" s="497"/>
      <c r="F79" s="497"/>
      <c r="G79" s="497"/>
    </row>
    <row r="80" spans="1:7">
      <c r="A80" s="424" t="s">
        <v>142</v>
      </c>
      <c r="C80" s="498">
        <f>REVENUE!C31*($C$16+$C$23+$C$30+$C$37+$C$44)</f>
        <v>125890.95447347096</v>
      </c>
      <c r="D80" s="498">
        <f>REVENUE!D31*'OPER EXP'!D$16</f>
        <v>24254.15371057162</v>
      </c>
      <c r="E80" s="498">
        <f>REVENUE!E31*'OPER EXP'!E$16</f>
        <v>25843.332185930325</v>
      </c>
      <c r="F80" s="498">
        <f>REVENUE!F31*'OPER EXP'!F$16</f>
        <v>22577.748252774196</v>
      </c>
      <c r="G80" s="498">
        <f>REVENUE!G31*'OPER EXP'!G$16</f>
        <v>22697.945227974196</v>
      </c>
    </row>
    <row r="81" spans="1:7">
      <c r="A81" s="22" t="s">
        <v>134</v>
      </c>
      <c r="C81" s="495">
        <f>REVENUE!C32*($C$16+$C$23+$C$30+$C$37+$C$44)</f>
        <v>54735.197597161292</v>
      </c>
      <c r="D81" s="495">
        <f>REVENUE!D32*'OPER EXP'!D$16</f>
        <v>8819.6922583896776</v>
      </c>
      <c r="E81" s="495"/>
      <c r="F81" s="495"/>
      <c r="G81" s="495"/>
    </row>
    <row r="82" spans="1:7">
      <c r="A82" s="22" t="s">
        <v>135</v>
      </c>
      <c r="C82" s="495">
        <f>REVENUE!C33*($C$16+$C$23+$C$30+$C$37+$C$44)</f>
        <v>65682.237116593547</v>
      </c>
      <c r="D82" s="495">
        <f>REVENUE!D33*'OPER EXP'!D$16</f>
        <v>8819.6922583896776</v>
      </c>
      <c r="E82" s="495"/>
      <c r="F82" s="495"/>
      <c r="G82" s="495"/>
    </row>
    <row r="83" spans="1:7">
      <c r="A83" s="22" t="s">
        <v>136</v>
      </c>
      <c r="C83" s="495">
        <f>REVENUE!C34*($C$16+$C$23+$C$30+$C$37+$C$44)</f>
        <v>82102.796395741927</v>
      </c>
      <c r="D83" s="497">
        <f>REVENUE!D34*'OPER EXP'!D$16</f>
        <v>8819.6922583896776</v>
      </c>
      <c r="E83" s="497"/>
      <c r="F83" s="497"/>
      <c r="G83" s="497"/>
    </row>
    <row r="84" spans="1:7">
      <c r="A84" s="424" t="s">
        <v>143</v>
      </c>
      <c r="C84" s="498">
        <f>REVENUE!C35*($C$16+$C$23+$C$30+$C$37+$C$44)</f>
        <v>202520.23110949676</v>
      </c>
      <c r="D84" s="498">
        <f>REVENUE!D35*'OPER EXP'!D$16</f>
        <v>26459.076775169036</v>
      </c>
      <c r="E84" s="498">
        <f>REVENUE!E35*'OPER EXP'!E$16</f>
        <v>25843.332185930325</v>
      </c>
      <c r="F84" s="498">
        <f>REVENUE!F35*'OPER EXP'!F$16</f>
        <v>29351.07272860645</v>
      </c>
      <c r="G84" s="498">
        <f>REVENUE!G35*'OPER EXP'!G$16</f>
        <v>28372.431534967742</v>
      </c>
    </row>
    <row r="85" spans="1:7">
      <c r="A85" s="22" t="s">
        <v>137</v>
      </c>
      <c r="C85" s="495">
        <f>REVENUE!C36*($C$16+$C$23+$C$30+$C$37+$C$44)</f>
        <v>65682.237116593547</v>
      </c>
      <c r="D85" s="495">
        <f>REVENUE!D36*'OPER EXP'!D$16</f>
        <v>12127.076855285808</v>
      </c>
      <c r="E85" s="495"/>
      <c r="F85" s="495"/>
      <c r="G85" s="495"/>
    </row>
    <row r="86" spans="1:7">
      <c r="A86" s="22" t="s">
        <v>138</v>
      </c>
      <c r="C86" s="495">
        <f>REVENUE!C37*($C$16+$C$23+$C$30+$C$37+$C$44)</f>
        <v>71155.756876309679</v>
      </c>
      <c r="D86" s="495">
        <f>REVENUE!D37*'OPER EXP'!D$16</f>
        <v>9922.1537906883877</v>
      </c>
      <c r="E86" s="495"/>
      <c r="F86" s="495"/>
      <c r="G86" s="495"/>
    </row>
    <row r="87" spans="1:7">
      <c r="A87" s="22" t="s">
        <v>139</v>
      </c>
      <c r="C87" s="495">
        <f>REVENUE!C38*($C$16+$C$23+$C$30+$C$37+$C$44)</f>
        <v>82102.796395741927</v>
      </c>
      <c r="D87" s="497">
        <f>REVENUE!D38*'OPER EXP'!D$16</f>
        <v>11024.615322987098</v>
      </c>
      <c r="E87" s="497"/>
      <c r="F87" s="497"/>
      <c r="G87" s="497"/>
    </row>
    <row r="88" spans="1:7">
      <c r="A88" s="424" t="s">
        <v>144</v>
      </c>
      <c r="C88" s="498">
        <f>REVENUE!C39*($C$16+$C$23+$C$30+$C$37+$C$44)</f>
        <v>218940.79038864517</v>
      </c>
      <c r="D88" s="498">
        <f>REVENUE!D39*'OPER EXP'!D$16</f>
        <v>33073.845968961294</v>
      </c>
      <c r="E88" s="498">
        <f>REVENUE!E39*'OPER EXP'!E$16</f>
        <v>33708.694155561294</v>
      </c>
      <c r="F88" s="498">
        <f>REVENUE!F39*'OPER EXP'!F$16</f>
        <v>31608.847553883868</v>
      </c>
      <c r="G88" s="498">
        <f>REVENUE!G39*'OPER EXP'!G$16</f>
        <v>35181.815103360001</v>
      </c>
    </row>
    <row r="89" spans="1:7" ht="13" thickBot="1">
      <c r="A89" s="426" t="s">
        <v>145</v>
      </c>
      <c r="C89" s="499">
        <f>REVENUE!C40*'OPER EXP'!C$16</f>
        <v>112817.32532387096</v>
      </c>
      <c r="D89" s="499">
        <f>REVENUE!D40*'OPER EXP'!D$16</f>
        <v>110246.15322987098</v>
      </c>
      <c r="E89" s="499">
        <f>REVENUE!E40*'OPER EXP'!E$16</f>
        <v>112362.31385187099</v>
      </c>
      <c r="F89" s="499">
        <f>REVENUE!F40*'OPER EXP'!F$16</f>
        <v>112888.74126387096</v>
      </c>
      <c r="G89" s="499">
        <f>REVENUE!G40*'OPER EXP'!G$16</f>
        <v>113489.72613987097</v>
      </c>
    </row>
    <row r="91" spans="1:7" ht="15">
      <c r="A91" s="22"/>
      <c r="B91" s="423"/>
      <c r="C91" s="22"/>
      <c r="D91" s="213" t="s">
        <v>431</v>
      </c>
      <c r="E91" s="423"/>
      <c r="F91" s="423"/>
      <c r="G91" s="22"/>
    </row>
    <row r="92" spans="1:7" ht="15">
      <c r="A92" s="22"/>
      <c r="B92" s="423"/>
      <c r="C92" s="22"/>
      <c r="D92" s="213" t="s">
        <v>75</v>
      </c>
      <c r="E92" s="423"/>
      <c r="F92" s="423"/>
      <c r="G92" s="22"/>
    </row>
    <row r="93" spans="1:7" ht="15">
      <c r="A93" s="22"/>
      <c r="B93" s="423"/>
      <c r="C93" s="47" t="s">
        <v>54</v>
      </c>
      <c r="D93" s="47" t="s">
        <v>55</v>
      </c>
      <c r="E93" s="47" t="s">
        <v>56</v>
      </c>
      <c r="F93" s="47" t="s">
        <v>57</v>
      </c>
      <c r="G93" s="47" t="s">
        <v>58</v>
      </c>
    </row>
    <row r="94" spans="1:7">
      <c r="A94" s="22" t="s">
        <v>128</v>
      </c>
      <c r="C94" s="495">
        <f>REVENUE!C24*C$60</f>
        <v>0</v>
      </c>
      <c r="D94" s="495">
        <f>REVENUE!D24*D$60</f>
        <v>6663.5928715604305</v>
      </c>
      <c r="E94" s="495"/>
      <c r="F94" s="495"/>
      <c r="G94" s="495"/>
    </row>
    <row r="95" spans="1:7">
      <c r="A95" s="22" t="s">
        <v>129</v>
      </c>
      <c r="C95" s="495">
        <f>REVENUE!C25*C$60</f>
        <v>0</v>
      </c>
      <c r="D95" s="495">
        <f>REVENUE!D25*D$60</f>
        <v>6663.5928715604305</v>
      </c>
      <c r="E95" s="495"/>
      <c r="F95" s="495"/>
      <c r="G95" s="495"/>
    </row>
    <row r="96" spans="1:7">
      <c r="A96" s="22" t="s">
        <v>130</v>
      </c>
      <c r="C96" s="495">
        <f>REVENUE!C26*C$60</f>
        <v>0</v>
      </c>
      <c r="D96" s="495">
        <f>REVENUE!D26*D$60</f>
        <v>6663.5928715604305</v>
      </c>
      <c r="E96" s="497"/>
      <c r="F96" s="497"/>
      <c r="G96" s="497"/>
    </row>
    <row r="97" spans="1:7">
      <c r="A97" s="424" t="s">
        <v>141</v>
      </c>
      <c r="C97" s="498">
        <f>REVENUE!C27*C$60</f>
        <v>0</v>
      </c>
      <c r="D97" s="498">
        <f>REVENUE!D27*D$60</f>
        <v>19990.778614681294</v>
      </c>
      <c r="E97" s="498">
        <f>REVENUE!E27*E$60</f>
        <v>20878.24084932129</v>
      </c>
      <c r="F97" s="498">
        <f>REVENUE!F27*F$60</f>
        <v>23544.425491991406</v>
      </c>
      <c r="G97" s="498">
        <f>REVENUE!G27*G$60</f>
        <v>22795.313648881292</v>
      </c>
    </row>
    <row r="98" spans="1:7">
      <c r="A98" s="22" t="s">
        <v>131</v>
      </c>
      <c r="C98" s="495">
        <f>REVENUE!C28*C$60</f>
        <v>4498.4376870752685</v>
      </c>
      <c r="D98" s="495">
        <f>REVENUE!D28*D$60</f>
        <v>6663.5928715604305</v>
      </c>
      <c r="E98" s="495"/>
      <c r="F98" s="495"/>
      <c r="G98" s="495"/>
    </row>
    <row r="99" spans="1:7">
      <c r="A99" s="22" t="s">
        <v>132</v>
      </c>
      <c r="C99" s="495">
        <f>REVENUE!C29*C$60</f>
        <v>7197.5002993204298</v>
      </c>
      <c r="D99" s="495">
        <f>REVENUE!D29*D$60</f>
        <v>5830.6437626153775</v>
      </c>
      <c r="E99" s="495"/>
      <c r="F99" s="495"/>
      <c r="G99" s="495"/>
    </row>
    <row r="100" spans="1:7">
      <c r="A100" s="22" t="s">
        <v>133</v>
      </c>
      <c r="C100" s="495">
        <f>REVENUE!C30*C$60</f>
        <v>8996.875374150537</v>
      </c>
      <c r="D100" s="497">
        <f>REVENUE!D30*D$60</f>
        <v>5830.6437626153775</v>
      </c>
      <c r="E100" s="497"/>
      <c r="F100" s="497"/>
      <c r="G100" s="497"/>
    </row>
    <row r="101" spans="1:7">
      <c r="A101" s="424" t="s">
        <v>142</v>
      </c>
      <c r="C101" s="498">
        <f>REVENUE!C31*C$60</f>
        <v>20692.813360546235</v>
      </c>
      <c r="D101" s="498">
        <f>REVENUE!D31*D$60</f>
        <v>18324.880396791188</v>
      </c>
      <c r="E101" s="498">
        <f>REVENUE!E31*E$60</f>
        <v>20008.314147266236</v>
      </c>
      <c r="F101" s="498">
        <f>REVENUE!F31*F$60</f>
        <v>18111.096532301079</v>
      </c>
      <c r="G101" s="498">
        <f>REVENUE!G31*G$60</f>
        <v>18996.09470740108</v>
      </c>
    </row>
    <row r="102" spans="1:7">
      <c r="A102" s="22" t="s">
        <v>134</v>
      </c>
      <c r="C102" s="495">
        <f>REVENUE!C32*C$60</f>
        <v>8996.875374150537</v>
      </c>
      <c r="D102" s="495">
        <f>REVENUE!D32*D$60</f>
        <v>6663.5928715604305</v>
      </c>
      <c r="E102" s="495"/>
      <c r="F102" s="495"/>
      <c r="G102" s="495"/>
    </row>
    <row r="103" spans="1:7">
      <c r="A103" s="22" t="s">
        <v>135</v>
      </c>
      <c r="C103" s="495">
        <f>REVENUE!C33*C$60</f>
        <v>10796.250448980643</v>
      </c>
      <c r="D103" s="495">
        <f>REVENUE!D33*D$60</f>
        <v>6663.5928715604305</v>
      </c>
      <c r="E103" s="495"/>
      <c r="F103" s="495"/>
      <c r="G103" s="495"/>
    </row>
    <row r="104" spans="1:7">
      <c r="A104" s="22" t="s">
        <v>136</v>
      </c>
      <c r="C104" s="495">
        <f>REVENUE!C34*C$60</f>
        <v>13495.313061225805</v>
      </c>
      <c r="D104" s="497">
        <f>REVENUE!D34*D$60</f>
        <v>6663.5928715604305</v>
      </c>
      <c r="E104" s="497"/>
      <c r="F104" s="497"/>
      <c r="G104" s="497"/>
    </row>
    <row r="105" spans="1:7">
      <c r="A105" s="424" t="s">
        <v>143</v>
      </c>
      <c r="C105" s="498">
        <f>REVENUE!C35*C$60</f>
        <v>33288.438884356983</v>
      </c>
      <c r="D105" s="498">
        <f>REVENUE!D35*D$60</f>
        <v>19990.778614681294</v>
      </c>
      <c r="E105" s="498">
        <f>REVENUE!E35*E$60</f>
        <v>20008.314147266236</v>
      </c>
      <c r="F105" s="498">
        <f>REVENUE!F35*F$60</f>
        <v>23544.425491991398</v>
      </c>
      <c r="G105" s="498">
        <f>REVENUE!G35*G$60</f>
        <v>23745.118384251346</v>
      </c>
    </row>
    <row r="106" spans="1:7">
      <c r="A106" s="22" t="s">
        <v>137</v>
      </c>
      <c r="C106" s="495">
        <f>REVENUE!C36*C$60</f>
        <v>10796.250448980643</v>
      </c>
      <c r="D106" s="495">
        <f>REVENUE!D36*D$60</f>
        <v>9162.4401983955922</v>
      </c>
      <c r="E106" s="495"/>
      <c r="F106" s="495"/>
      <c r="G106" s="495"/>
    </row>
    <row r="107" spans="1:7">
      <c r="A107" s="22" t="s">
        <v>138</v>
      </c>
      <c r="C107" s="495">
        <f>REVENUE!C37*C$60</f>
        <v>11695.937986395698</v>
      </c>
      <c r="D107" s="495">
        <f>REVENUE!D37*D$60</f>
        <v>7496.5419805054853</v>
      </c>
      <c r="E107" s="495"/>
      <c r="F107" s="495"/>
      <c r="G107" s="495"/>
    </row>
    <row r="108" spans="1:7">
      <c r="A108" s="22" t="s">
        <v>139</v>
      </c>
      <c r="C108" s="495">
        <f>REVENUE!C38*C$60</f>
        <v>13495.313061225805</v>
      </c>
      <c r="D108" s="497">
        <f>REVENUE!D38*D$60</f>
        <v>8329.4910894505392</v>
      </c>
      <c r="E108" s="497"/>
      <c r="F108" s="497"/>
      <c r="G108" s="497"/>
    </row>
    <row r="109" spans="1:7">
      <c r="A109" s="424" t="s">
        <v>144</v>
      </c>
      <c r="C109" s="498">
        <f>REVENUE!C39*C$60</f>
        <v>35987.501496602148</v>
      </c>
      <c r="D109" s="498">
        <f>REVENUE!D39*D$60</f>
        <v>24988.473268351616</v>
      </c>
      <c r="E109" s="498">
        <f>REVENUE!E39*E$60</f>
        <v>26097.801061651615</v>
      </c>
      <c r="F109" s="498">
        <f>REVENUE!F39*F$60</f>
        <v>25355.535145221507</v>
      </c>
      <c r="G109" s="498">
        <f>REVENUE!G39*G$60</f>
        <v>29443.946796471671</v>
      </c>
    </row>
    <row r="110" spans="1:7" ht="13" thickBot="1">
      <c r="A110" s="426" t="s">
        <v>145</v>
      </c>
      <c r="C110" s="499">
        <f>SUM(C97,C101,C105,C109)</f>
        <v>89968.753741505367</v>
      </c>
      <c r="D110" s="499">
        <f t="shared" ref="D110:G110" si="6">SUM(D97,D101,D105,D109)</f>
        <v>83294.910894505389</v>
      </c>
      <c r="E110" s="499">
        <f t="shared" si="6"/>
        <v>86992.670205505376</v>
      </c>
      <c r="F110" s="499">
        <f t="shared" si="6"/>
        <v>90555.48266150539</v>
      </c>
      <c r="G110" s="499">
        <f t="shared" si="6"/>
        <v>94980.473537005397</v>
      </c>
    </row>
  </sheetData>
  <phoneticPr fontId="0" type="noConversion"/>
  <pageMargins left="0.75" right="0.75" top="0.5" bottom="0.5" header="0.5" footer="0.5"/>
  <pageSetup scale="92" fitToHeight="0" orientation="portrait" horizontalDpi="300" verticalDpi="300"/>
  <headerFooter alignWithMargins="0">
    <oddHeader>&amp;R&amp;D
&amp;T</oddHeader>
  </headerFooter>
  <rowBreaks count="1" manualBreakCount="1">
    <brk id="69" max="6" man="1"/>
  </row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J47"/>
  <sheetViews>
    <sheetView workbookViewId="0">
      <selection activeCell="G1" sqref="G1"/>
    </sheetView>
  </sheetViews>
  <sheetFormatPr baseColWidth="10" defaultColWidth="8.7109375" defaultRowHeight="13" x14ac:dyDescent="0"/>
  <cols>
    <col min="1" max="1" width="42" style="2" customWidth="1"/>
    <col min="2" max="2" width="4" style="2" customWidth="1"/>
    <col min="3" max="5" width="11.28515625" style="2" bestFit="1" customWidth="1"/>
    <col min="6" max="6" width="12.42578125" style="2" customWidth="1"/>
    <col min="7" max="7" width="12.5703125" style="2" customWidth="1"/>
    <col min="8" max="8" width="10.7109375" style="2" customWidth="1"/>
    <col min="9" max="9" width="10.28515625" style="2" customWidth="1"/>
    <col min="10" max="16384" width="8.7109375" style="2"/>
  </cols>
  <sheetData>
    <row r="1" spans="1:10" ht="18">
      <c r="A1" s="156" t="str">
        <f>PERSONNEL!A1</f>
        <v>AQUAPONICS FARMING</v>
      </c>
      <c r="B1" s="199"/>
      <c r="C1" s="199"/>
      <c r="D1" s="198"/>
      <c r="E1" s="199"/>
      <c r="F1" s="199"/>
      <c r="G1" s="199"/>
      <c r="H1" s="37"/>
      <c r="I1" s="1"/>
      <c r="J1" s="1"/>
    </row>
    <row r="2" spans="1:10" s="154" customFormat="1" ht="16">
      <c r="A2" s="151" t="s">
        <v>446</v>
      </c>
      <c r="B2" s="152"/>
      <c r="C2" s="152"/>
      <c r="D2" s="151"/>
      <c r="E2" s="152"/>
      <c r="F2" s="152"/>
      <c r="G2" s="152"/>
      <c r="H2" s="152"/>
      <c r="I2" s="153"/>
      <c r="J2" s="153"/>
    </row>
    <row r="3" spans="1:10" s="154" customFormat="1" ht="16">
      <c r="A3" s="151" t="s">
        <v>53</v>
      </c>
      <c r="B3" s="152"/>
      <c r="C3" s="152"/>
      <c r="D3" s="152"/>
      <c r="E3" s="152"/>
      <c r="F3" s="152"/>
      <c r="G3" s="152"/>
      <c r="H3" s="152"/>
      <c r="I3" s="153"/>
      <c r="J3" s="153"/>
    </row>
    <row r="4" spans="1:10" s="154" customFormat="1" ht="16">
      <c r="A4" s="155" t="s">
        <v>75</v>
      </c>
      <c r="B4" s="152"/>
      <c r="C4" s="152"/>
      <c r="D4" s="152"/>
      <c r="E4" s="152"/>
      <c r="F4" s="152"/>
      <c r="G4" s="152"/>
      <c r="H4" s="152"/>
      <c r="I4" s="153"/>
      <c r="J4" s="153"/>
    </row>
    <row r="5" spans="1:10" ht="15">
      <c r="A5" s="37"/>
      <c r="B5" s="81"/>
      <c r="C5" s="185" t="s">
        <v>54</v>
      </c>
      <c r="D5" s="185" t="s">
        <v>55</v>
      </c>
      <c r="E5" s="185" t="s">
        <v>56</v>
      </c>
      <c r="F5" s="185" t="s">
        <v>57</v>
      </c>
      <c r="G5" s="185" t="s">
        <v>58</v>
      </c>
      <c r="I5" s="271"/>
    </row>
    <row r="6" spans="1:10" ht="15">
      <c r="A6" s="37"/>
      <c r="B6" s="81"/>
      <c r="C6" s="82"/>
      <c r="D6" s="82"/>
      <c r="E6" s="82"/>
      <c r="F6" s="82"/>
      <c r="G6" s="82"/>
      <c r="I6" s="272"/>
    </row>
    <row r="7" spans="1:10">
      <c r="A7" s="42" t="s">
        <v>119</v>
      </c>
      <c r="B7" s="83"/>
      <c r="C7" s="126">
        <f>REVENUE!C19</f>
        <v>810866.26619354845</v>
      </c>
      <c r="D7" s="87">
        <f>REVENUE!D19</f>
        <v>932307.66149354842</v>
      </c>
      <c r="E7" s="87">
        <f>REVENUE!E19</f>
        <v>1038115.6925935483</v>
      </c>
      <c r="F7" s="87">
        <f>REVENUE!F19</f>
        <v>1064437.0631935485</v>
      </c>
      <c r="G7" s="87">
        <f>REVENUE!G19</f>
        <v>1094486.3069935483</v>
      </c>
      <c r="I7" s="84"/>
    </row>
    <row r="8" spans="1:10">
      <c r="A8" s="37"/>
      <c r="B8" s="83"/>
      <c r="C8" s="84"/>
      <c r="D8" s="84"/>
      <c r="E8" s="84"/>
      <c r="F8" s="84"/>
      <c r="G8" s="84"/>
      <c r="I8" s="84"/>
    </row>
    <row r="9" spans="1:10" s="509" customFormat="1">
      <c r="A9" s="42" t="s">
        <v>163</v>
      </c>
      <c r="B9" s="507"/>
      <c r="C9" s="508">
        <f>'COST OF REV'!C30</f>
        <v>110894.52550064518</v>
      </c>
      <c r="D9" s="508">
        <f>'COST OF REV'!D30</f>
        <v>132536.82265364518</v>
      </c>
      <c r="E9" s="508">
        <f>'COST OF REV'!E30</f>
        <v>154022.78616464513</v>
      </c>
      <c r="F9" s="508">
        <f>'COST OF REV'!F30</f>
        <v>174713.88307064516</v>
      </c>
      <c r="G9" s="508">
        <f>'COST OF REV'!G30</f>
        <v>195442.25870864518</v>
      </c>
      <c r="I9" s="510"/>
    </row>
    <row r="10" spans="1:10" s="509" customFormat="1">
      <c r="A10" s="1" t="s">
        <v>6</v>
      </c>
      <c r="B10" s="507"/>
      <c r="C10" s="511">
        <f>C9/C7</f>
        <v>0.13676056104937948</v>
      </c>
      <c r="D10" s="511">
        <f>D9/D7</f>
        <v>0.14215996299046002</v>
      </c>
      <c r="E10" s="511">
        <f>E9/E7</f>
        <v>0.1483676504107615</v>
      </c>
      <c r="F10" s="511">
        <f>F9/F7</f>
        <v>0.16413735401740387</v>
      </c>
      <c r="G10" s="511">
        <f>G9/G7</f>
        <v>0.17856985277916068</v>
      </c>
      <c r="I10" s="512"/>
    </row>
    <row r="11" spans="1:10" s="509" customFormat="1">
      <c r="A11" s="42"/>
      <c r="B11" s="507"/>
      <c r="C11" s="512"/>
      <c r="D11" s="512"/>
      <c r="E11" s="512"/>
      <c r="F11" s="512"/>
      <c r="G11" s="512"/>
      <c r="I11" s="513"/>
    </row>
    <row r="12" spans="1:10" s="509" customFormat="1">
      <c r="A12" s="42" t="s">
        <v>120</v>
      </c>
      <c r="B12" s="514"/>
      <c r="C12" s="515">
        <f>C7-C9</f>
        <v>699971.74069290329</v>
      </c>
      <c r="D12" s="515">
        <f>D7-D9</f>
        <v>799770.83883990324</v>
      </c>
      <c r="E12" s="515">
        <f>E7-E9</f>
        <v>884092.90642890322</v>
      </c>
      <c r="F12" s="515">
        <f>F7-F9</f>
        <v>889723.18012290332</v>
      </c>
      <c r="G12" s="515">
        <f>G7-G9</f>
        <v>899044.04828490317</v>
      </c>
      <c r="I12" s="510"/>
    </row>
    <row r="13" spans="1:10" s="509" customFormat="1">
      <c r="A13" s="1" t="s">
        <v>6</v>
      </c>
      <c r="B13" s="516"/>
      <c r="C13" s="517">
        <f>C12/C7</f>
        <v>0.8632394389506205</v>
      </c>
      <c r="D13" s="517">
        <f>D12/D7</f>
        <v>0.85784003700953992</v>
      </c>
      <c r="E13" s="517">
        <f>E12/E7</f>
        <v>0.8516323495892385</v>
      </c>
      <c r="F13" s="517">
        <f>F12/F7</f>
        <v>0.83586264598259619</v>
      </c>
      <c r="G13" s="517">
        <f>G12/G7</f>
        <v>0.8214301472208394</v>
      </c>
      <c r="I13" s="518"/>
    </row>
    <row r="14" spans="1:10" s="509" customFormat="1">
      <c r="A14" s="1"/>
      <c r="B14" s="516"/>
      <c r="C14" s="518"/>
      <c r="D14" s="518"/>
      <c r="E14" s="518"/>
      <c r="F14" s="518"/>
      <c r="G14" s="518"/>
      <c r="I14" s="518"/>
    </row>
    <row r="15" spans="1:10">
      <c r="A15" s="42" t="s">
        <v>7</v>
      </c>
      <c r="B15" s="83"/>
      <c r="C15" s="84"/>
      <c r="D15" s="84"/>
      <c r="E15" s="84"/>
      <c r="F15" s="84"/>
      <c r="G15" s="84"/>
      <c r="I15" s="84"/>
    </row>
    <row r="16" spans="1:10">
      <c r="A16" s="37" t="s">
        <v>73</v>
      </c>
      <c r="B16" s="83"/>
      <c r="C16" s="87">
        <f>'OPER EXP'!C15</f>
        <v>112817.32532387096</v>
      </c>
      <c r="D16" s="87">
        <f>'OPER EXP'!D15</f>
        <v>110246.15322987098</v>
      </c>
      <c r="E16" s="87">
        <f>'OPER EXP'!E15</f>
        <v>112362.31385187097</v>
      </c>
      <c r="F16" s="87">
        <f>'OPER EXP'!F15</f>
        <v>112888.74126387096</v>
      </c>
      <c r="G16" s="87">
        <f>'OPER EXP'!G15</f>
        <v>113489.72613987097</v>
      </c>
      <c r="I16" s="84"/>
    </row>
    <row r="17" spans="1:9">
      <c r="A17" s="588" t="s">
        <v>408</v>
      </c>
      <c r="B17" s="83"/>
      <c r="C17" s="87">
        <f>'OPER EXP'!C22</f>
        <v>120308.66266193548</v>
      </c>
      <c r="D17" s="87">
        <f>'OPER EXP'!D22</f>
        <v>121523.07661493549</v>
      </c>
      <c r="E17" s="87">
        <f>'OPER EXP'!E22</f>
        <v>122581.15692593549</v>
      </c>
      <c r="F17" s="87">
        <f>'OPER EXP'!F22</f>
        <v>122844.37063193548</v>
      </c>
      <c r="G17" s="87">
        <f>'OPER EXP'!G22</f>
        <v>123144.86306993548</v>
      </c>
      <c r="I17" s="84"/>
    </row>
    <row r="18" spans="1:9">
      <c r="A18" s="588" t="s">
        <v>407</v>
      </c>
      <c r="B18" s="83"/>
      <c r="C18" s="87">
        <f>'OPER EXP'!C29</f>
        <v>156008.66266193549</v>
      </c>
      <c r="D18" s="87">
        <f>'OPER EXP'!D29</f>
        <v>157223.07661493547</v>
      </c>
      <c r="E18" s="87">
        <f>'OPER EXP'!E29</f>
        <v>158281.15692593547</v>
      </c>
      <c r="F18" s="87">
        <f>'OPER EXP'!F29</f>
        <v>158544.37063193548</v>
      </c>
      <c r="G18" s="87">
        <f>'OPER EXP'!G29</f>
        <v>158844.86306993547</v>
      </c>
      <c r="I18" s="84"/>
    </row>
    <row r="19" spans="1:9">
      <c r="A19" s="588" t="s">
        <v>415</v>
      </c>
      <c r="B19" s="83"/>
      <c r="C19" s="87">
        <f>'OPER EXP'!C36</f>
        <v>49108.662661935487</v>
      </c>
      <c r="D19" s="87">
        <f>'OPER EXP'!D36</f>
        <v>50323.076614935482</v>
      </c>
      <c r="E19" s="87">
        <f>'OPER EXP'!E36</f>
        <v>51381.156925935487</v>
      </c>
      <c r="F19" s="87">
        <f>'OPER EXP'!F36</f>
        <v>51644.370631935482</v>
      </c>
      <c r="G19" s="87">
        <f>'OPER EXP'!G36</f>
        <v>51944.863069935484</v>
      </c>
      <c r="I19" s="84"/>
    </row>
    <row r="20" spans="1:9">
      <c r="A20" s="588" t="s">
        <v>432</v>
      </c>
      <c r="B20" s="83"/>
      <c r="C20" s="87">
        <f>'OPER EXP'!C43</f>
        <v>109108.66266193548</v>
      </c>
      <c r="D20" s="87">
        <f>'OPER EXP'!D43</f>
        <v>110323.07661493549</v>
      </c>
      <c r="E20" s="87">
        <f>'OPER EXP'!E43</f>
        <v>111381.15692593549</v>
      </c>
      <c r="F20" s="87">
        <f>'OPER EXP'!F43</f>
        <v>111644.37063193548</v>
      </c>
      <c r="G20" s="87">
        <f>'OPER EXP'!G43</f>
        <v>111944.86306993548</v>
      </c>
      <c r="I20" s="84"/>
    </row>
    <row r="21" spans="1:9">
      <c r="A21" s="588" t="s">
        <v>433</v>
      </c>
      <c r="B21" s="83"/>
      <c r="C21" s="85">
        <f>'OPER EXP'!C59</f>
        <v>89968.753741505367</v>
      </c>
      <c r="D21" s="85">
        <f>'OPER EXP'!D59</f>
        <v>83294.910894505389</v>
      </c>
      <c r="E21" s="85">
        <f>'OPER EXP'!E59</f>
        <v>86992.670205505376</v>
      </c>
      <c r="F21" s="85">
        <f>'OPER EXP'!F59</f>
        <v>90555.482661505375</v>
      </c>
      <c r="G21" s="85">
        <f>'OPER EXP'!G59</f>
        <v>94980.473537005382</v>
      </c>
      <c r="I21" s="84"/>
    </row>
    <row r="22" spans="1:9">
      <c r="A22" s="37" t="s">
        <v>8</v>
      </c>
      <c r="B22" s="83"/>
      <c r="C22" s="87">
        <f>'OPER EXP'!C62</f>
        <v>637320.72971311817</v>
      </c>
      <c r="D22" s="87">
        <f>'OPER EXP'!D62</f>
        <v>632933.37058411841</v>
      </c>
      <c r="E22" s="87">
        <f>'OPER EXP'!E62</f>
        <v>642979.61176111829</v>
      </c>
      <c r="F22" s="87">
        <f>'OPER EXP'!F62</f>
        <v>648121.70645311824</v>
      </c>
      <c r="G22" s="87">
        <f>'OPER EXP'!G62</f>
        <v>654349.6519566183</v>
      </c>
      <c r="I22" s="84"/>
    </row>
    <row r="23" spans="1:9">
      <c r="A23" s="37" t="s">
        <v>6</v>
      </c>
      <c r="B23" s="86"/>
      <c r="C23" s="178">
        <f>'OPER EXP'!C63</f>
        <v>0.78597514323156448</v>
      </c>
      <c r="D23" s="178">
        <f>'OPER EXP'!D63</f>
        <v>0.67888895128263227</v>
      </c>
      <c r="E23" s="178">
        <f>'OPER EXP'!E63</f>
        <v>0.6193718256534082</v>
      </c>
      <c r="F23" s="178">
        <f>'OPER EXP'!F63</f>
        <v>0.60888682747348977</v>
      </c>
      <c r="G23" s="178">
        <f>'OPER EXP'!G63</f>
        <v>0.59786006254756696</v>
      </c>
      <c r="I23" s="273"/>
    </row>
    <row r="24" spans="1:9">
      <c r="A24" s="37"/>
      <c r="B24" s="26"/>
      <c r="C24" s="89"/>
      <c r="D24" s="89"/>
      <c r="E24" s="89"/>
      <c r="F24" s="89"/>
      <c r="G24" s="89"/>
      <c r="I24" s="135"/>
    </row>
    <row r="25" spans="1:9">
      <c r="A25" s="42" t="s">
        <v>9</v>
      </c>
      <c r="B25" s="26"/>
      <c r="C25" s="190">
        <f>C7-C22</f>
        <v>173545.53648043028</v>
      </c>
      <c r="D25" s="190">
        <f t="shared" ref="D25:G25" si="0">D7-D22</f>
        <v>299374.29090943001</v>
      </c>
      <c r="E25" s="190">
        <f t="shared" si="0"/>
        <v>395136.08083243005</v>
      </c>
      <c r="F25" s="190">
        <f t="shared" si="0"/>
        <v>416315.35674043023</v>
      </c>
      <c r="G25" s="190">
        <f t="shared" si="0"/>
        <v>440136.65503692999</v>
      </c>
      <c r="I25" s="135"/>
    </row>
    <row r="26" spans="1:9">
      <c r="A26" s="37"/>
      <c r="B26" s="26"/>
      <c r="C26"/>
      <c r="D26"/>
      <c r="E26"/>
      <c r="F26"/>
      <c r="G26"/>
      <c r="I26" s="135"/>
    </row>
    <row r="27" spans="1:9">
      <c r="A27" s="42" t="s">
        <v>10</v>
      </c>
      <c r="B27" s="26"/>
      <c r="C27" s="87">
        <f>EXTRA!C17</f>
        <v>-7600</v>
      </c>
      <c r="D27" s="87">
        <f>EXTRA!D17</f>
        <v>-4600</v>
      </c>
      <c r="E27" s="87">
        <f>EXTRA!E17</f>
        <v>-4600</v>
      </c>
      <c r="F27" s="87">
        <f>EXTRA!F17</f>
        <v>-4600</v>
      </c>
      <c r="G27" s="87">
        <f>EXTRA!G17</f>
        <v>-4600</v>
      </c>
      <c r="I27" s="135"/>
    </row>
    <row r="28" spans="1:9">
      <c r="A28" s="37"/>
      <c r="B28" s="90"/>
      <c r="C28" s="89"/>
      <c r="D28" s="89"/>
      <c r="E28" s="89"/>
      <c r="F28" s="89"/>
      <c r="G28" s="89"/>
      <c r="I28" s="199"/>
    </row>
    <row r="29" spans="1:9">
      <c r="A29" s="42" t="s">
        <v>400</v>
      </c>
      <c r="B29" s="26"/>
      <c r="C29" s="190">
        <f>C25+C27</f>
        <v>165945.53648043028</v>
      </c>
      <c r="D29" s="190">
        <f>D25+D27</f>
        <v>294774.29090943001</v>
      </c>
      <c r="E29" s="190">
        <f>E25+E27</f>
        <v>390536.08083243005</v>
      </c>
      <c r="F29" s="190">
        <f>F25+F27</f>
        <v>411715.35674043023</v>
      </c>
      <c r="G29" s="190">
        <f>G25+G27</f>
        <v>435536.65503692999</v>
      </c>
      <c r="I29" s="135"/>
    </row>
    <row r="30" spans="1:9">
      <c r="A30" s="37"/>
      <c r="B30" s="90"/>
      <c r="C30" s="84"/>
      <c r="D30" s="84"/>
      <c r="E30" s="84"/>
      <c r="F30" s="84"/>
      <c r="G30" s="84"/>
      <c r="I30" s="199"/>
    </row>
    <row r="31" spans="1:9">
      <c r="A31" s="42" t="s">
        <v>94</v>
      </c>
      <c r="B31" s="26"/>
      <c r="C31" s="87">
        <f>-FUNDING!C41+FUNDING!C45</f>
        <v>0</v>
      </c>
      <c r="D31" s="87">
        <f>-FUNDING!D41+FUNDING!D45</f>
        <v>0</v>
      </c>
      <c r="E31" s="87">
        <f>-FUNDING!E41+FUNDING!E45</f>
        <v>0</v>
      </c>
      <c r="F31" s="87">
        <f>-FUNDING!F41+FUNDING!F45</f>
        <v>0</v>
      </c>
      <c r="G31" s="87">
        <f>-FUNDING!G41+FUNDING!G45</f>
        <v>0</v>
      </c>
      <c r="I31" s="135"/>
    </row>
    <row r="32" spans="1:9">
      <c r="A32" s="37"/>
      <c r="B32" s="90"/>
      <c r="C32" s="84"/>
      <c r="D32" s="84"/>
      <c r="E32" s="84"/>
      <c r="F32" s="84"/>
      <c r="G32" s="84"/>
      <c r="I32" s="199"/>
    </row>
    <row r="33" spans="1:10">
      <c r="A33" s="42" t="s">
        <v>11</v>
      </c>
      <c r="B33" s="26"/>
      <c r="C33" s="191">
        <f>C29+C31</f>
        <v>165945.53648043028</v>
      </c>
      <c r="D33" s="191">
        <f t="shared" ref="D33:G33" si="1">D29+D31</f>
        <v>294774.29090943001</v>
      </c>
      <c r="E33" s="191">
        <f t="shared" si="1"/>
        <v>390536.08083243005</v>
      </c>
      <c r="F33" s="191">
        <f t="shared" si="1"/>
        <v>411715.35674043023</v>
      </c>
      <c r="G33" s="191">
        <f t="shared" si="1"/>
        <v>435536.65503692999</v>
      </c>
      <c r="I33" s="135"/>
      <c r="J33" s="1"/>
    </row>
    <row r="34" spans="1:10">
      <c r="A34" s="37" t="s">
        <v>6</v>
      </c>
      <c r="B34" s="91"/>
      <c r="C34" s="177">
        <f>C33/C7</f>
        <v>0.20465216448012918</v>
      </c>
      <c r="D34" s="177">
        <f>D33/D7</f>
        <v>0.31617705515495204</v>
      </c>
      <c r="E34" s="177">
        <f>E33/E7</f>
        <v>0.37619706899598521</v>
      </c>
      <c r="F34" s="177">
        <f>F33/F7</f>
        <v>0.38679163942787975</v>
      </c>
      <c r="G34" s="177">
        <f>G33/G7</f>
        <v>0.39793705252769085</v>
      </c>
      <c r="I34" s="274"/>
      <c r="J34" s="1"/>
    </row>
    <row r="35" spans="1:10">
      <c r="A35" s="37"/>
      <c r="B35" s="37"/>
      <c r="C35" s="37"/>
      <c r="D35" s="37"/>
      <c r="E35" s="37"/>
      <c r="F35" s="37"/>
      <c r="G35" s="37"/>
      <c r="H35" s="37"/>
      <c r="I35" s="1"/>
      <c r="J35" s="1"/>
    </row>
    <row r="36" spans="1:10">
      <c r="A36" s="37"/>
      <c r="B36" s="37"/>
      <c r="C36" s="37"/>
      <c r="D36" s="83"/>
      <c r="E36" s="83"/>
      <c r="F36" s="37"/>
      <c r="G36" s="37"/>
      <c r="H36" s="37"/>
      <c r="I36" s="1"/>
      <c r="J36" s="1"/>
    </row>
    <row r="37" spans="1:10">
      <c r="A37" s="37"/>
      <c r="B37" s="37"/>
      <c r="C37" s="37"/>
      <c r="D37" s="83"/>
      <c r="E37" s="37"/>
      <c r="F37" s="37"/>
      <c r="G37" s="37"/>
      <c r="H37" s="37"/>
      <c r="J37" s="1"/>
    </row>
    <row r="38" spans="1:10">
      <c r="A38" s="37"/>
      <c r="B38" s="37"/>
      <c r="C38" s="37"/>
      <c r="D38" s="37"/>
      <c r="E38" s="37"/>
      <c r="F38" s="37"/>
      <c r="G38" s="37"/>
      <c r="H38" s="37"/>
    </row>
    <row r="39" spans="1:10">
      <c r="A39" s="37"/>
      <c r="B39" s="37"/>
      <c r="C39" s="37"/>
      <c r="D39" s="37"/>
      <c r="E39" s="37"/>
      <c r="F39" s="37"/>
      <c r="G39" s="37"/>
      <c r="H39" s="37"/>
    </row>
    <row r="47" spans="1:10">
      <c r="I47" s="37"/>
    </row>
  </sheetData>
  <phoneticPr fontId="0" type="noConversion"/>
  <pageMargins left="0.75" right="0.75" top="0.5" bottom="0.5" header="0.5" footer="0.5"/>
  <pageSetup orientation="landscape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L43"/>
  <sheetViews>
    <sheetView zoomScale="75" zoomScaleNormal="75" zoomScalePageLayoutView="75" workbookViewId="0">
      <selection activeCell="H1" sqref="H1"/>
    </sheetView>
  </sheetViews>
  <sheetFormatPr baseColWidth="10" defaultColWidth="8.7109375" defaultRowHeight="15" x14ac:dyDescent="0"/>
  <cols>
    <col min="1" max="1" width="40.140625" style="4" customWidth="1"/>
    <col min="2" max="2" width="11.7109375" style="4" bestFit="1" customWidth="1"/>
    <col min="3" max="3" width="10.7109375" style="4" customWidth="1"/>
    <col min="4" max="4" width="11.140625" style="4" customWidth="1"/>
    <col min="5" max="5" width="12.7109375" style="4" customWidth="1"/>
    <col min="6" max="6" width="13.42578125" style="4" customWidth="1"/>
    <col min="7" max="7" width="13.5703125" style="4" customWidth="1"/>
    <col min="8" max="8" width="10.85546875" style="4" customWidth="1"/>
    <col min="9" max="9" width="11" style="4" customWidth="1"/>
    <col min="10" max="16384" width="8.7109375" style="4"/>
  </cols>
  <sheetData>
    <row r="1" spans="1:12" s="158" customFormat="1" ht="18">
      <c r="A1" s="161" t="str">
        <f>REVENUE!A1</f>
        <v>AQUAPONICS FARMING</v>
      </c>
      <c r="B1" s="197"/>
      <c r="C1" s="197"/>
      <c r="D1" s="197"/>
      <c r="E1" s="197"/>
      <c r="F1" s="197"/>
      <c r="G1" s="197"/>
    </row>
    <row r="2" spans="1:12" s="160" customFormat="1">
      <c r="A2" s="159" t="s">
        <v>12</v>
      </c>
    </row>
    <row r="3" spans="1:12" s="160" customFormat="1">
      <c r="A3" s="159" t="s">
        <v>53</v>
      </c>
    </row>
    <row r="4" spans="1:12" s="160" customFormat="1">
      <c r="A4" s="159" t="s">
        <v>75</v>
      </c>
    </row>
    <row r="5" spans="1:12">
      <c r="B5" s="162" t="s">
        <v>124</v>
      </c>
      <c r="C5" s="162" t="s">
        <v>54</v>
      </c>
      <c r="D5" s="162" t="s">
        <v>55</v>
      </c>
      <c r="E5" s="162" t="s">
        <v>56</v>
      </c>
      <c r="F5" s="162" t="s">
        <v>57</v>
      </c>
      <c r="G5" s="162" t="s">
        <v>58</v>
      </c>
      <c r="K5" s="3"/>
      <c r="L5" s="3"/>
    </row>
    <row r="6" spans="1:12">
      <c r="B6" s="162"/>
      <c r="C6" s="162"/>
      <c r="D6" s="162"/>
      <c r="E6" s="162"/>
      <c r="F6" s="162"/>
      <c r="G6" s="162"/>
      <c r="K6" s="3"/>
      <c r="L6" s="3"/>
    </row>
    <row r="7" spans="1:12">
      <c r="A7" s="128" t="s">
        <v>13</v>
      </c>
      <c r="B7" s="35"/>
      <c r="C7" s="35"/>
      <c r="D7" s="35"/>
      <c r="E7" s="35"/>
      <c r="F7" s="35"/>
      <c r="G7" s="35"/>
      <c r="K7" s="3"/>
      <c r="L7" s="3"/>
    </row>
    <row r="8" spans="1:12">
      <c r="A8" s="128" t="s">
        <v>14</v>
      </c>
      <c r="B8" s="35"/>
      <c r="C8" s="35"/>
      <c r="D8" s="35"/>
      <c r="E8" s="35"/>
      <c r="F8" s="35"/>
      <c r="G8" s="35"/>
      <c r="K8" s="3"/>
      <c r="L8" s="3"/>
    </row>
    <row r="9" spans="1:12">
      <c r="A9" s="35" t="s">
        <v>15</v>
      </c>
      <c r="B9" s="95">
        <f>FUNDING!B6</f>
        <v>1000000</v>
      </c>
      <c r="C9" s="95">
        <f>CASHFLOW!C31</f>
        <v>924778.23360428831</v>
      </c>
      <c r="D9" s="95">
        <f>CASHFLOW!D31</f>
        <v>1212067.0057149711</v>
      </c>
      <c r="E9" s="95">
        <f>CASHFLOW!E31</f>
        <v>1570939.9431061586</v>
      </c>
      <c r="F9" s="95">
        <f>CASHFLOW!F31</f>
        <v>1961929.9468725759</v>
      </c>
      <c r="G9" s="95">
        <f>CASHFLOW!G31</f>
        <v>2361130.2377970815</v>
      </c>
      <c r="K9" s="3"/>
      <c r="L9" s="3"/>
    </row>
    <row r="10" spans="1:12">
      <c r="A10" s="35" t="s">
        <v>16</v>
      </c>
      <c r="B10" s="95"/>
      <c r="C10" s="95">
        <f>WORKCAP!C12</f>
        <v>121143.42016931614</v>
      </c>
      <c r="D10" s="95">
        <f>WORKCAP!D12</f>
        <v>92857.843084757449</v>
      </c>
      <c r="E10" s="95">
        <f>WORKCAP!E12</f>
        <v>103396.32298231743</v>
      </c>
      <c r="F10" s="95">
        <f>WORKCAP!F12</f>
        <v>98950.069394472259</v>
      </c>
      <c r="G10" s="95">
        <f>WORKCAP!G12</f>
        <v>112644.53071577601</v>
      </c>
      <c r="K10" s="3"/>
      <c r="L10" s="3"/>
    </row>
    <row r="11" spans="1:12">
      <c r="A11" s="92" t="s">
        <v>17</v>
      </c>
      <c r="B11" s="95">
        <f t="shared" ref="B11:G11" si="0">SUM(B9:B10)</f>
        <v>1000000</v>
      </c>
      <c r="C11" s="95">
        <f t="shared" si="0"/>
        <v>1045921.6537736044</v>
      </c>
      <c r="D11" s="95">
        <f t="shared" si="0"/>
        <v>1304924.8487997286</v>
      </c>
      <c r="E11" s="95">
        <f t="shared" si="0"/>
        <v>1674336.2660884762</v>
      </c>
      <c r="F11" s="95">
        <f t="shared" si="0"/>
        <v>2060880.0162670482</v>
      </c>
      <c r="G11" s="95">
        <f t="shared" si="0"/>
        <v>2473774.7685128576</v>
      </c>
      <c r="K11" s="3"/>
      <c r="L11" s="3"/>
    </row>
    <row r="12" spans="1:12">
      <c r="A12" s="129" t="s">
        <v>159</v>
      </c>
      <c r="B12" s="94">
        <f>'PROP &amp; EQUIP'!C20</f>
        <v>166000</v>
      </c>
      <c r="C12" s="94">
        <f>'PROP &amp; EQUIP'!D20</f>
        <v>11000</v>
      </c>
      <c r="D12" s="94">
        <f>'PROP &amp; EQUIP'!E20</f>
        <v>14000</v>
      </c>
      <c r="E12" s="94">
        <f>'PROP &amp; EQUIP'!F20</f>
        <v>11000</v>
      </c>
      <c r="F12" s="94">
        <f>'PROP &amp; EQUIP'!G20</f>
        <v>16000</v>
      </c>
      <c r="G12" s="94">
        <f>'PROP &amp; EQUIP'!H20</f>
        <v>0</v>
      </c>
      <c r="K12" s="3"/>
      <c r="L12" s="3"/>
    </row>
    <row r="13" spans="1:12" ht="16" thickBot="1">
      <c r="A13" s="224" t="s">
        <v>121</v>
      </c>
      <c r="B13" s="194">
        <f t="shared" ref="B13:G13" si="1">B11+B12</f>
        <v>1166000</v>
      </c>
      <c r="C13" s="194">
        <f t="shared" si="1"/>
        <v>1056921.6537736044</v>
      </c>
      <c r="D13" s="194">
        <f t="shared" si="1"/>
        <v>1318924.8487997286</v>
      </c>
      <c r="E13" s="194">
        <f t="shared" si="1"/>
        <v>1685336.2660884762</v>
      </c>
      <c r="F13" s="194">
        <f t="shared" si="1"/>
        <v>2076880.0162670482</v>
      </c>
      <c r="G13" s="194">
        <f t="shared" si="1"/>
        <v>2473774.7685128576</v>
      </c>
      <c r="K13" s="3"/>
      <c r="L13" s="3"/>
    </row>
    <row r="14" spans="1:12">
      <c r="A14" s="35"/>
      <c r="B14" s="93"/>
      <c r="C14" s="93"/>
      <c r="D14" s="93"/>
      <c r="E14" s="93"/>
      <c r="F14" s="93"/>
      <c r="G14" s="93"/>
      <c r="K14" s="3"/>
      <c r="L14" s="3"/>
    </row>
    <row r="15" spans="1:12">
      <c r="A15" s="128" t="s">
        <v>18</v>
      </c>
      <c r="B15" s="93"/>
      <c r="C15" s="93"/>
      <c r="D15" s="93"/>
      <c r="E15" s="93"/>
      <c r="F15" s="93"/>
      <c r="G15" s="93"/>
      <c r="K15" s="3"/>
      <c r="L15" s="3"/>
    </row>
    <row r="16" spans="1:12">
      <c r="A16" s="128" t="s">
        <v>19</v>
      </c>
      <c r="B16" s="93"/>
      <c r="C16" s="93"/>
      <c r="D16" s="93"/>
      <c r="E16" s="93"/>
      <c r="F16" s="93"/>
      <c r="G16" s="93"/>
      <c r="K16" s="3"/>
      <c r="L16" s="3"/>
    </row>
    <row r="17" spans="1:12">
      <c r="A17" s="35" t="s">
        <v>20</v>
      </c>
      <c r="B17" s="95">
        <f>FUNDING!B18</f>
        <v>0</v>
      </c>
      <c r="C17" s="95">
        <f>FUNDING!C18</f>
        <v>0</v>
      </c>
      <c r="D17" s="95">
        <f>FUNDING!D18</f>
        <v>0</v>
      </c>
      <c r="E17" s="95">
        <f>FUNDING!E18</f>
        <v>0</v>
      </c>
      <c r="F17" s="95">
        <f>FUNDING!F18</f>
        <v>0</v>
      </c>
      <c r="G17" s="95">
        <f>FUNDING!G18</f>
        <v>0</v>
      </c>
      <c r="K17" s="3"/>
      <c r="L17" s="3"/>
    </row>
    <row r="18" spans="1:12">
      <c r="A18" s="35" t="s">
        <v>21</v>
      </c>
      <c r="B18" s="95"/>
      <c r="C18" s="95">
        <f>WORKCAP!C25</f>
        <v>60571.710084658072</v>
      </c>
      <c r="D18" s="95">
        <f>WORKCAP!D25</f>
        <v>46988.306139274842</v>
      </c>
      <c r="E18" s="95">
        <f>WORKCAP!E25</f>
        <v>52321.030906714841</v>
      </c>
      <c r="F18" s="95">
        <f>WORKCAP!F25</f>
        <v>50071.119452624516</v>
      </c>
      <c r="G18" s="95">
        <f>WORKCAP!G25</f>
        <v>57000.846868224005</v>
      </c>
      <c r="K18" s="3"/>
      <c r="L18" s="3"/>
    </row>
    <row r="19" spans="1:12">
      <c r="A19" s="35" t="s">
        <v>22</v>
      </c>
      <c r="B19" s="96">
        <f>FUNDING!B22</f>
        <v>0</v>
      </c>
      <c r="C19" s="96">
        <f>FUNDING!C22</f>
        <v>0</v>
      </c>
      <c r="D19" s="96">
        <f>FUNDING!D22</f>
        <v>0</v>
      </c>
      <c r="E19" s="96">
        <f>FUNDING!E22</f>
        <v>0</v>
      </c>
      <c r="F19" s="96">
        <f>FUNDING!F22</f>
        <v>0</v>
      </c>
      <c r="G19" s="96">
        <f>FUNDING!G22</f>
        <v>0</v>
      </c>
      <c r="K19" s="3"/>
      <c r="L19" s="3"/>
    </row>
    <row r="20" spans="1:12">
      <c r="A20" s="92" t="s">
        <v>23</v>
      </c>
      <c r="B20" s="192">
        <f t="shared" ref="B20:G20" si="2">SUM(B17:B19)</f>
        <v>0</v>
      </c>
      <c r="C20" s="192">
        <f t="shared" si="2"/>
        <v>60571.710084658072</v>
      </c>
      <c r="D20" s="192">
        <f t="shared" si="2"/>
        <v>46988.306139274842</v>
      </c>
      <c r="E20" s="192">
        <f t="shared" si="2"/>
        <v>52321.030906714841</v>
      </c>
      <c r="F20" s="192">
        <f t="shared" si="2"/>
        <v>50071.119452624516</v>
      </c>
      <c r="G20" s="192">
        <f t="shared" si="2"/>
        <v>57000.846868224005</v>
      </c>
      <c r="K20" s="3"/>
      <c r="L20" s="3"/>
    </row>
    <row r="21" spans="1:12">
      <c r="A21" s="35"/>
      <c r="B21" s="93"/>
      <c r="C21" s="93"/>
      <c r="D21" s="93"/>
      <c r="E21" s="93"/>
      <c r="F21" s="93"/>
      <c r="G21" s="93"/>
      <c r="K21" s="3"/>
      <c r="L21" s="3"/>
    </row>
    <row r="22" spans="1:12">
      <c r="A22" s="35" t="s">
        <v>123</v>
      </c>
      <c r="B22" s="95">
        <f>FUNDING!B23</f>
        <v>0</v>
      </c>
      <c r="C22" s="95">
        <f>FUNDING!C23</f>
        <v>0</v>
      </c>
      <c r="D22" s="95">
        <f>FUNDING!D23</f>
        <v>0</v>
      </c>
      <c r="E22" s="95">
        <f>FUNDING!E23</f>
        <v>0</v>
      </c>
      <c r="F22" s="95">
        <f>FUNDING!F23</f>
        <v>0</v>
      </c>
      <c r="G22" s="95">
        <f>FUNDING!G23</f>
        <v>0</v>
      </c>
      <c r="K22" s="3"/>
      <c r="L22" s="3"/>
    </row>
    <row r="23" spans="1:12">
      <c r="A23" s="35"/>
      <c r="B23" s="93"/>
      <c r="C23" s="93"/>
      <c r="D23" s="93"/>
      <c r="E23" s="93"/>
      <c r="F23" s="93"/>
      <c r="G23" s="93"/>
      <c r="K23" s="3"/>
      <c r="L23" s="3"/>
    </row>
    <row r="24" spans="1:12">
      <c r="A24" s="128" t="s">
        <v>24</v>
      </c>
      <c r="B24" s="93"/>
      <c r="C24" s="93"/>
      <c r="D24" s="93"/>
      <c r="E24" s="93"/>
      <c r="F24" s="93"/>
      <c r="G24" s="93"/>
      <c r="K24" s="3"/>
      <c r="L24" s="3"/>
    </row>
    <row r="25" spans="1:12">
      <c r="A25" s="35" t="s">
        <v>25</v>
      </c>
      <c r="B25" s="97">
        <f>FUNDING!B8</f>
        <v>0</v>
      </c>
      <c r="C25" s="97">
        <f>FUNDING!C8</f>
        <v>0</v>
      </c>
      <c r="D25" s="97">
        <f>FUNDING!D8</f>
        <v>0</v>
      </c>
      <c r="E25" s="97">
        <f>FUNDING!E8</f>
        <v>0</v>
      </c>
      <c r="F25" s="97">
        <f>FUNDING!F8</f>
        <v>0</v>
      </c>
      <c r="G25" s="97">
        <f>FUNDING!G8</f>
        <v>0</v>
      </c>
      <c r="K25" s="3"/>
      <c r="L25" s="3"/>
    </row>
    <row r="26" spans="1:12">
      <c r="A26" s="35" t="s">
        <v>26</v>
      </c>
      <c r="B26" s="97">
        <f>FUNDING!B13</f>
        <v>0</v>
      </c>
      <c r="C26" s="97">
        <f>FUNDING!C13</f>
        <v>0</v>
      </c>
      <c r="D26" s="97">
        <f>FUNDING!D13</f>
        <v>0</v>
      </c>
      <c r="E26" s="97">
        <f>FUNDING!E13</f>
        <v>0</v>
      </c>
      <c r="F26" s="97">
        <f>FUNDING!F13</f>
        <v>0</v>
      </c>
      <c r="G26" s="97">
        <f>FUNDING!G13</f>
        <v>0</v>
      </c>
      <c r="K26" s="3"/>
      <c r="L26" s="3"/>
    </row>
    <row r="27" spans="1:12">
      <c r="A27" s="35" t="s">
        <v>27</v>
      </c>
      <c r="B27" s="96"/>
      <c r="C27" s="96">
        <f>FUNDING!C52</f>
        <v>165945.53648043028</v>
      </c>
      <c r="D27" s="96">
        <f>FUNDING!D52</f>
        <v>460719.82738986029</v>
      </c>
      <c r="E27" s="96">
        <f>FUNDING!E52</f>
        <v>851255.90822229034</v>
      </c>
      <c r="F27" s="96">
        <f>FUNDING!F52</f>
        <v>1262971.2649627207</v>
      </c>
      <c r="G27" s="96">
        <f>FUNDING!G52</f>
        <v>1698507.9199996507</v>
      </c>
      <c r="K27" s="3"/>
      <c r="L27" s="3"/>
    </row>
    <row r="28" spans="1:12">
      <c r="A28" s="223" t="s">
        <v>67</v>
      </c>
      <c r="B28" s="193">
        <f t="shared" ref="B28:G28" si="3">SUM(B25:B27)</f>
        <v>0</v>
      </c>
      <c r="C28" s="193">
        <f t="shared" si="3"/>
        <v>165945.53648043028</v>
      </c>
      <c r="D28" s="193">
        <f t="shared" si="3"/>
        <v>460719.82738986029</v>
      </c>
      <c r="E28" s="193">
        <f t="shared" si="3"/>
        <v>851255.90822229034</v>
      </c>
      <c r="F28" s="193">
        <f t="shared" si="3"/>
        <v>1262971.2649627207</v>
      </c>
      <c r="G28" s="193">
        <f t="shared" si="3"/>
        <v>1698507.9199996507</v>
      </c>
      <c r="K28" s="3"/>
      <c r="L28" s="3"/>
    </row>
    <row r="29" spans="1:12" ht="16" thickBot="1">
      <c r="A29" s="224" t="s">
        <v>76</v>
      </c>
      <c r="B29" s="194">
        <f t="shared" ref="B29:G29" si="4">B20+B22+B28</f>
        <v>0</v>
      </c>
      <c r="C29" s="194">
        <f t="shared" si="4"/>
        <v>226517.24656508834</v>
      </c>
      <c r="D29" s="194">
        <f t="shared" si="4"/>
        <v>507708.13352913514</v>
      </c>
      <c r="E29" s="194">
        <f t="shared" si="4"/>
        <v>903576.93912900519</v>
      </c>
      <c r="F29" s="194">
        <f t="shared" si="4"/>
        <v>1313042.3844153453</v>
      </c>
      <c r="G29" s="194">
        <f t="shared" si="4"/>
        <v>1755508.7668678747</v>
      </c>
    </row>
    <row r="30" spans="1:12">
      <c r="B30" s="6"/>
      <c r="F30" s="6"/>
      <c r="G30" s="6"/>
    </row>
    <row r="31" spans="1:12">
      <c r="B31" s="6"/>
      <c r="C31" s="6"/>
      <c r="D31" s="6"/>
      <c r="E31" s="6"/>
      <c r="F31" s="6"/>
      <c r="G31" s="6"/>
      <c r="K31" s="3"/>
      <c r="L31" s="3"/>
    </row>
    <row r="32" spans="1:12">
      <c r="K32" s="3"/>
      <c r="L32" s="3"/>
    </row>
    <row r="33" spans="8:12">
      <c r="K33" s="3"/>
      <c r="L33" s="3"/>
    </row>
    <row r="34" spans="8:12">
      <c r="K34" s="3"/>
      <c r="L34" s="3"/>
    </row>
    <row r="35" spans="8:12">
      <c r="K35" s="3"/>
      <c r="L35" s="3"/>
    </row>
    <row r="36" spans="8:12">
      <c r="K36" s="3"/>
      <c r="L36" s="3"/>
    </row>
    <row r="37" spans="8:12">
      <c r="K37" s="3"/>
      <c r="L37" s="3"/>
    </row>
    <row r="38" spans="8:12">
      <c r="H38" s="5"/>
      <c r="I38" s="5"/>
      <c r="J38" s="5"/>
      <c r="K38" s="3"/>
      <c r="L38" s="3"/>
    </row>
    <row r="39" spans="8:12">
      <c r="H39" s="5"/>
      <c r="I39" s="5"/>
      <c r="J39" s="5"/>
      <c r="K39" s="3"/>
      <c r="L39" s="3"/>
    </row>
    <row r="40" spans="8:12">
      <c r="H40" s="6"/>
      <c r="I40" s="6"/>
    </row>
    <row r="43" spans="8:12">
      <c r="H43" s="35"/>
    </row>
  </sheetData>
  <phoneticPr fontId="0" type="noConversion"/>
  <pageMargins left="0.75" right="0.75" top="0.5" bottom="0.5" header="0.5" footer="0.5"/>
  <pageSetup orientation="landscape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pageSetUpPr fitToPage="1"/>
  </sheetPr>
  <dimension ref="A1:M30"/>
  <sheetViews>
    <sheetView zoomScale="75" zoomScaleNormal="75" zoomScalePageLayoutView="75" workbookViewId="0">
      <selection activeCell="C20" sqref="C20"/>
    </sheetView>
  </sheetViews>
  <sheetFormatPr baseColWidth="10" defaultColWidth="8.7109375" defaultRowHeight="13" x14ac:dyDescent="0"/>
  <cols>
    <col min="1" max="1" width="41.140625" customWidth="1"/>
    <col min="2" max="2" width="3.140625" hidden="1" customWidth="1"/>
    <col min="3" max="3" width="11.85546875" customWidth="1"/>
    <col min="4" max="4" width="12.42578125" customWidth="1"/>
    <col min="5" max="5" width="12.5703125" customWidth="1"/>
    <col min="6" max="7" width="13.140625" customWidth="1"/>
    <col min="11" max="11" width="11.7109375" bestFit="1" customWidth="1"/>
    <col min="13" max="13" width="11.7109375" bestFit="1" customWidth="1"/>
  </cols>
  <sheetData>
    <row r="1" spans="1:10" ht="18">
      <c r="A1" s="180" t="str">
        <f>'OPER EXP'!A1</f>
        <v>AQUAPONICS FARMING</v>
      </c>
      <c r="B1" s="201"/>
      <c r="C1" s="201"/>
      <c r="D1" s="201"/>
      <c r="E1" s="201"/>
      <c r="F1" s="201"/>
      <c r="G1" s="201"/>
      <c r="H1" s="392"/>
    </row>
    <row r="2" spans="1:10" ht="15">
      <c r="A2" s="146" t="s">
        <v>321</v>
      </c>
      <c r="B2" s="30"/>
      <c r="C2" s="30"/>
      <c r="D2" s="30"/>
      <c r="E2" s="30"/>
      <c r="F2" s="30"/>
      <c r="G2" s="30"/>
    </row>
    <row r="3" spans="1:10" ht="15">
      <c r="A3" s="146" t="s">
        <v>53</v>
      </c>
      <c r="B3" s="30"/>
      <c r="C3" s="30"/>
      <c r="D3" s="30"/>
      <c r="E3" s="30"/>
      <c r="F3" s="30"/>
      <c r="G3" s="30"/>
    </row>
    <row r="4" spans="1:10" ht="15">
      <c r="A4" s="146" t="s">
        <v>75</v>
      </c>
      <c r="B4" s="30"/>
      <c r="C4" s="30"/>
      <c r="D4" s="30"/>
      <c r="E4" s="30"/>
      <c r="F4" s="30"/>
      <c r="G4" s="30"/>
    </row>
    <row r="5" spans="1:10" ht="15">
      <c r="A5" s="30"/>
      <c r="B5" s="30"/>
      <c r="C5" s="43" t="s">
        <v>54</v>
      </c>
      <c r="D5" s="43" t="s">
        <v>55</v>
      </c>
      <c r="E5" s="43" t="s">
        <v>56</v>
      </c>
      <c r="F5" s="43" t="s">
        <v>57</v>
      </c>
      <c r="G5" s="43" t="s">
        <v>58</v>
      </c>
    </row>
    <row r="6" spans="1:10">
      <c r="A6" s="69" t="s">
        <v>2</v>
      </c>
      <c r="B6" s="70"/>
      <c r="C6" s="99">
        <f>REVENUE!C19</f>
        <v>810866.26619354845</v>
      </c>
      <c r="D6" s="99">
        <f>REVENUE!D19</f>
        <v>932307.66149354842</v>
      </c>
      <c r="E6" s="99">
        <f>REVENUE!E19</f>
        <v>1038115.6925935483</v>
      </c>
      <c r="F6" s="99">
        <f>REVENUE!F19</f>
        <v>1064437.0631935485</v>
      </c>
      <c r="G6" s="99">
        <f>REVENUE!G19</f>
        <v>1094486.3069935483</v>
      </c>
    </row>
    <row r="7" spans="1:10">
      <c r="A7" s="69"/>
      <c r="B7" s="70"/>
      <c r="C7" s="270"/>
      <c r="D7" s="270"/>
      <c r="E7" s="270"/>
      <c r="F7" s="270"/>
      <c r="G7" s="270"/>
    </row>
    <row r="8" spans="1:10">
      <c r="A8" s="75" t="s">
        <v>45</v>
      </c>
      <c r="B8" s="30"/>
      <c r="C8" s="104"/>
      <c r="D8" s="104"/>
      <c r="E8" s="104"/>
      <c r="F8" s="104"/>
      <c r="G8" s="104"/>
    </row>
    <row r="9" spans="1:10">
      <c r="A9" s="74" t="s">
        <v>110</v>
      </c>
      <c r="B9" s="30"/>
      <c r="C9" s="77">
        <f>'OPER EXP'!C66</f>
        <v>254620.72971311829</v>
      </c>
      <c r="D9" s="77">
        <f>'OPER EXP'!D66</f>
        <v>250233.3705841183</v>
      </c>
      <c r="E9" s="77">
        <f>'OPER EXP'!E66</f>
        <v>260279.61176111829</v>
      </c>
      <c r="F9" s="77">
        <f>'OPER EXP'!F66</f>
        <v>265421.70645311824</v>
      </c>
      <c r="G9" s="77">
        <f>'OPER EXP'!G66</f>
        <v>271649.6519566183</v>
      </c>
      <c r="I9" s="65"/>
      <c r="J9" s="30"/>
    </row>
    <row r="10" spans="1:10">
      <c r="A10" s="74" t="s">
        <v>109</v>
      </c>
      <c r="B10" s="30"/>
      <c r="C10" s="389">
        <f>'OPER EXP'!C67</f>
        <v>382700</v>
      </c>
      <c r="D10" s="389">
        <f>'OPER EXP'!D67</f>
        <v>382700</v>
      </c>
      <c r="E10" s="389">
        <f>'OPER EXP'!E67</f>
        <v>382700</v>
      </c>
      <c r="F10" s="389">
        <f>'OPER EXP'!F67</f>
        <v>382700</v>
      </c>
      <c r="G10" s="389">
        <f>'OPER EXP'!G67</f>
        <v>382700</v>
      </c>
      <c r="H10" s="62"/>
      <c r="I10" s="79"/>
      <c r="J10" s="30"/>
    </row>
    <row r="11" spans="1:10">
      <c r="A11" s="74" t="s">
        <v>111</v>
      </c>
      <c r="B11" s="30"/>
      <c r="C11" s="77">
        <f>'OPER EXP'!C68</f>
        <v>637320.72971311829</v>
      </c>
      <c r="D11" s="77">
        <f>'OPER EXP'!D68</f>
        <v>632933.3705841183</v>
      </c>
      <c r="E11" s="77">
        <f>'OPER EXP'!E68</f>
        <v>642979.61176111829</v>
      </c>
      <c r="F11" s="77">
        <f>'OPER EXP'!F68</f>
        <v>648121.70645311824</v>
      </c>
      <c r="G11" s="77">
        <f>'OPER EXP'!G68</f>
        <v>654349.6519566183</v>
      </c>
    </row>
    <row r="12" spans="1:10">
      <c r="B12" s="30"/>
      <c r="C12" s="104"/>
      <c r="D12" s="104"/>
      <c r="E12" s="104"/>
      <c r="F12" s="104"/>
      <c r="G12" s="104"/>
    </row>
    <row r="13" spans="1:10">
      <c r="A13" s="75"/>
      <c r="B13" s="30"/>
      <c r="C13" s="104"/>
      <c r="D13" s="104"/>
      <c r="E13" s="104"/>
      <c r="F13" s="104"/>
      <c r="G13" s="104"/>
    </row>
    <row r="14" spans="1:10">
      <c r="A14" s="75" t="s">
        <v>306</v>
      </c>
      <c r="B14" s="30"/>
      <c r="C14" s="374">
        <f>C9/C6</f>
        <v>0.31401075655593003</v>
      </c>
      <c r="D14" s="374">
        <f t="shared" ref="D14:G14" si="0">D9/D6</f>
        <v>0.26840213903556975</v>
      </c>
      <c r="E14" s="374">
        <f t="shared" si="0"/>
        <v>0.25072312615837233</v>
      </c>
      <c r="F14" s="374">
        <f t="shared" si="0"/>
        <v>0.24935406294177126</v>
      </c>
      <c r="G14" s="374">
        <f t="shared" si="0"/>
        <v>0.24819831022172817</v>
      </c>
    </row>
    <row r="15" spans="1:10">
      <c r="A15" s="30"/>
      <c r="B15" s="30"/>
      <c r="C15" s="104"/>
      <c r="D15" s="104"/>
      <c r="E15" s="104"/>
      <c r="F15" s="104"/>
      <c r="G15" s="104"/>
    </row>
    <row r="16" spans="1:10">
      <c r="A16" s="58" t="s">
        <v>107</v>
      </c>
      <c r="C16" s="64">
        <f>C10/(1-C9/C6)</f>
        <v>557880.46774410142</v>
      </c>
      <c r="D16" s="64">
        <f t="shared" ref="D16:G16" si="1">D10/(1-D9/D6)</f>
        <v>523101.58410729223</v>
      </c>
      <c r="E16" s="64">
        <f t="shared" si="1"/>
        <v>510759.12437795341</v>
      </c>
      <c r="F16" s="64">
        <f t="shared" si="1"/>
        <v>509827.57796544681</v>
      </c>
      <c r="G16" s="64">
        <f t="shared" si="1"/>
        <v>509043.81461668352</v>
      </c>
    </row>
    <row r="17" spans="1:13">
      <c r="A17" s="384"/>
      <c r="B17" s="71"/>
      <c r="C17" s="270"/>
      <c r="D17" s="270"/>
      <c r="E17" s="270"/>
      <c r="F17" s="270"/>
      <c r="G17" s="270"/>
    </row>
    <row r="18" spans="1:13">
      <c r="A18" s="384"/>
      <c r="B18" s="71"/>
      <c r="C18" s="270"/>
      <c r="D18" s="270"/>
      <c r="E18" s="270"/>
      <c r="F18" s="270"/>
      <c r="G18" s="270"/>
    </row>
    <row r="19" spans="1:13">
      <c r="A19" s="299"/>
      <c r="B19" s="30"/>
      <c r="C19" s="104"/>
      <c r="D19" s="104"/>
      <c r="E19" s="104"/>
      <c r="F19" s="104"/>
      <c r="G19" s="104"/>
    </row>
    <row r="20" spans="1:13">
      <c r="A20" s="299"/>
      <c r="C20" s="24"/>
      <c r="D20" s="24"/>
      <c r="E20" s="24"/>
      <c r="F20" s="24"/>
      <c r="G20" s="24"/>
    </row>
    <row r="21" spans="1:13">
      <c r="C21" s="24"/>
      <c r="D21" s="24"/>
      <c r="E21" s="24"/>
      <c r="F21" s="24"/>
      <c r="G21" s="24"/>
    </row>
    <row r="22" spans="1:13">
      <c r="C22" s="24"/>
      <c r="D22" s="24"/>
      <c r="E22" s="24"/>
      <c r="F22" s="24"/>
      <c r="G22" s="24"/>
    </row>
    <row r="25" spans="1:13">
      <c r="A25" s="58"/>
    </row>
    <row r="26" spans="1:13">
      <c r="K26" s="376"/>
      <c r="M26" s="376"/>
    </row>
    <row r="27" spans="1:13">
      <c r="A27" s="299"/>
      <c r="C27" s="24"/>
      <c r="D27" s="24"/>
      <c r="E27" s="24"/>
      <c r="F27" s="24"/>
      <c r="G27" s="24"/>
      <c r="K27" s="376"/>
      <c r="M27" s="376"/>
    </row>
    <row r="28" spans="1:13">
      <c r="C28" s="24"/>
      <c r="D28" s="24"/>
      <c r="E28" s="24"/>
      <c r="F28" s="24"/>
      <c r="G28" s="24"/>
      <c r="K28" s="376"/>
      <c r="M28" s="376"/>
    </row>
    <row r="29" spans="1:13">
      <c r="C29" s="24"/>
      <c r="D29" s="24"/>
      <c r="E29" s="24"/>
      <c r="F29" s="24"/>
      <c r="G29" s="375"/>
      <c r="K29" s="376"/>
      <c r="M29" s="376"/>
    </row>
    <row r="30" spans="1:13">
      <c r="C30" s="24"/>
      <c r="D30" s="24"/>
      <c r="E30" s="24"/>
      <c r="F30" s="24"/>
      <c r="G30" s="24"/>
      <c r="K30" s="376"/>
      <c r="M30" s="376"/>
    </row>
  </sheetData>
  <phoneticPr fontId="0" type="noConversion"/>
  <pageMargins left="0.75" right="0.75" top="1" bottom="1" header="0.5" footer="0.5"/>
  <pageSetup orientation="landscape" horizontalDpi="300" verticalDpi="300"/>
  <headerFooter alignWithMargins="0">
    <oddHeader>&amp;R&amp;D
&amp;T</oddHeader>
  </headerFooter>
  <colBreaks count="1" manualBreakCount="1">
    <brk id="8" max="1048575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98"/>
  <sheetViews>
    <sheetView zoomScale="115" zoomScaleNormal="115" zoomScalePageLayoutView="115" workbookViewId="0">
      <selection activeCell="C77" sqref="C77"/>
    </sheetView>
  </sheetViews>
  <sheetFormatPr baseColWidth="10" defaultColWidth="8.7109375" defaultRowHeight="12" x14ac:dyDescent="0"/>
  <cols>
    <col min="1" max="1" width="28.85546875" style="23" customWidth="1"/>
    <col min="2" max="2" width="12.42578125" style="482" bestFit="1" customWidth="1"/>
    <col min="3" max="3" width="5.28515625" style="558" customWidth="1"/>
    <col min="4" max="8" width="13.28515625" style="23" bestFit="1" customWidth="1"/>
    <col min="9" max="16384" width="8.7109375" style="23"/>
  </cols>
  <sheetData>
    <row r="1" spans="1:8" ht="21">
      <c r="A1" s="137" t="str">
        <f>'PROJ SPECS'!A1</f>
        <v>AQUAPONICS FARMING</v>
      </c>
      <c r="B1" s="568"/>
      <c r="C1" s="557"/>
      <c r="D1" s="526"/>
      <c r="E1" s="405"/>
      <c r="F1" s="405"/>
      <c r="G1" s="405"/>
    </row>
    <row r="2" spans="1:8" ht="15">
      <c r="A2" s="188" t="s">
        <v>369</v>
      </c>
      <c r="B2" s="569"/>
    </row>
    <row r="3" spans="1:8" ht="15">
      <c r="A3" s="188" t="s">
        <v>53</v>
      </c>
      <c r="B3" s="569"/>
    </row>
    <row r="4" spans="1:8" ht="15">
      <c r="A4" s="188" t="s">
        <v>75</v>
      </c>
      <c r="B4" s="569"/>
    </row>
    <row r="5" spans="1:8" ht="15">
      <c r="D5" s="54" t="s">
        <v>54</v>
      </c>
      <c r="E5" s="54" t="s">
        <v>55</v>
      </c>
      <c r="F5" s="54" t="s">
        <v>56</v>
      </c>
      <c r="G5" s="54" t="s">
        <v>57</v>
      </c>
      <c r="H5" s="54" t="s">
        <v>58</v>
      </c>
    </row>
    <row r="6" spans="1:8">
      <c r="C6" s="559"/>
      <c r="D6" s="61"/>
      <c r="E6" s="61"/>
      <c r="F6" s="61"/>
      <c r="G6" s="61"/>
      <c r="H6" s="61"/>
    </row>
    <row r="7" spans="1:8">
      <c r="A7" s="44" t="s">
        <v>47</v>
      </c>
      <c r="B7" s="570"/>
      <c r="C7" s="549" t="s">
        <v>368</v>
      </c>
      <c r="D7" s="480">
        <f>REVENUE!C19</f>
        <v>810866.26619354845</v>
      </c>
      <c r="E7" s="480">
        <f>REVENUE!D19</f>
        <v>932307.66149354842</v>
      </c>
      <c r="F7" s="480">
        <f>REVENUE!E19</f>
        <v>1038115.6925935483</v>
      </c>
      <c r="G7" s="480">
        <f>REVENUE!F19</f>
        <v>1064437.0631935485</v>
      </c>
      <c r="H7" s="480">
        <f>REVENUE!G19</f>
        <v>1094486.3069935483</v>
      </c>
    </row>
    <row r="8" spans="1:8">
      <c r="C8" s="559"/>
      <c r="D8" s="481"/>
      <c r="E8" s="481"/>
      <c r="F8" s="481"/>
      <c r="G8" s="481"/>
      <c r="H8" s="481"/>
    </row>
    <row r="9" spans="1:8">
      <c r="A9" s="44" t="s">
        <v>147</v>
      </c>
      <c r="B9" s="570"/>
      <c r="C9" s="560"/>
      <c r="D9" s="487"/>
      <c r="E9" s="487"/>
      <c r="F9" s="487"/>
      <c r="G9" s="487"/>
      <c r="H9" s="487"/>
    </row>
    <row r="10" spans="1:8">
      <c r="A10" s="55" t="s">
        <v>49</v>
      </c>
      <c r="B10" s="571"/>
      <c r="D10" s="482"/>
      <c r="E10" s="482"/>
      <c r="F10" s="482"/>
      <c r="G10" s="482"/>
      <c r="H10" s="482"/>
    </row>
    <row r="11" spans="1:8">
      <c r="A11" s="404" t="s">
        <v>403</v>
      </c>
      <c r="B11" s="585">
        <v>40000</v>
      </c>
      <c r="C11" s="587">
        <v>1</v>
      </c>
      <c r="D11" s="581">
        <f>$C$11*$B$11</f>
        <v>40000</v>
      </c>
      <c r="E11" s="581">
        <f t="shared" ref="E11:H11" si="0">$C$11*$B$11</f>
        <v>40000</v>
      </c>
      <c r="F11" s="581">
        <f t="shared" si="0"/>
        <v>40000</v>
      </c>
      <c r="G11" s="581">
        <f t="shared" si="0"/>
        <v>40000</v>
      </c>
      <c r="H11" s="581">
        <f t="shared" si="0"/>
        <v>40000</v>
      </c>
    </row>
    <row r="12" spans="1:8">
      <c r="A12" s="404" t="s">
        <v>404</v>
      </c>
      <c r="B12" s="585">
        <v>40000</v>
      </c>
      <c r="C12" s="587">
        <v>1</v>
      </c>
      <c r="D12" s="581">
        <f>$C$12*$B$12</f>
        <v>40000</v>
      </c>
      <c r="E12" s="581">
        <f t="shared" ref="E12:H12" si="1">$C$12*$B$12</f>
        <v>40000</v>
      </c>
      <c r="F12" s="581">
        <f t="shared" si="1"/>
        <v>40000</v>
      </c>
      <c r="G12" s="581">
        <f t="shared" si="1"/>
        <v>40000</v>
      </c>
      <c r="H12" s="581">
        <f t="shared" si="1"/>
        <v>40000</v>
      </c>
    </row>
    <row r="13" spans="1:8">
      <c r="A13" s="404" t="s">
        <v>406</v>
      </c>
      <c r="B13" s="585">
        <v>30000</v>
      </c>
      <c r="C13" s="587">
        <v>0</v>
      </c>
      <c r="D13" s="581">
        <f>$C$13*$B$13</f>
        <v>0</v>
      </c>
      <c r="E13" s="581">
        <f t="shared" ref="E13:H13" si="2">$C$13*$B$13</f>
        <v>0</v>
      </c>
      <c r="F13" s="581">
        <f t="shared" si="2"/>
        <v>0</v>
      </c>
      <c r="G13" s="581">
        <f t="shared" si="2"/>
        <v>0</v>
      </c>
      <c r="H13" s="581">
        <f t="shared" si="2"/>
        <v>0</v>
      </c>
    </row>
    <row r="14" spans="1:8">
      <c r="A14" s="404" t="s">
        <v>410</v>
      </c>
      <c r="B14" s="585">
        <v>25000</v>
      </c>
      <c r="C14" s="587">
        <v>0</v>
      </c>
      <c r="D14" s="581">
        <f>$B$14*$C$14</f>
        <v>0</v>
      </c>
      <c r="E14" s="581">
        <f t="shared" ref="E14:H14" si="3">$B$14*$C$14</f>
        <v>0</v>
      </c>
      <c r="F14" s="581">
        <f t="shared" si="3"/>
        <v>0</v>
      </c>
      <c r="G14" s="581">
        <f t="shared" si="3"/>
        <v>0</v>
      </c>
      <c r="H14" s="581">
        <f t="shared" si="3"/>
        <v>0</v>
      </c>
    </row>
    <row r="15" spans="1:8">
      <c r="A15" s="404" t="s">
        <v>416</v>
      </c>
      <c r="B15" s="585">
        <v>25000</v>
      </c>
      <c r="C15" s="587">
        <v>0</v>
      </c>
      <c r="D15" s="581">
        <f>$B$15*$C$15</f>
        <v>0</v>
      </c>
      <c r="E15" s="581">
        <f t="shared" ref="E15:H15" si="4">$B$15*$C$15</f>
        <v>0</v>
      </c>
      <c r="F15" s="581">
        <f t="shared" si="4"/>
        <v>0</v>
      </c>
      <c r="G15" s="581">
        <f t="shared" si="4"/>
        <v>0</v>
      </c>
      <c r="H15" s="581">
        <f t="shared" si="4"/>
        <v>0</v>
      </c>
    </row>
    <row r="16" spans="1:8">
      <c r="A16" s="404" t="s">
        <v>311</v>
      </c>
      <c r="B16" s="572"/>
      <c r="C16" s="549"/>
      <c r="D16" s="582"/>
      <c r="E16" s="582"/>
      <c r="F16" s="582"/>
      <c r="G16" s="582"/>
      <c r="H16" s="582"/>
    </row>
    <row r="17" spans="1:8">
      <c r="A17" s="407" t="s">
        <v>312</v>
      </c>
      <c r="B17" s="573"/>
      <c r="C17" s="549" t="s">
        <v>368</v>
      </c>
      <c r="D17" s="483">
        <f>SUM(D11:D16)</f>
        <v>80000</v>
      </c>
      <c r="E17" s="483">
        <f>SUM(E11:E16)</f>
        <v>80000</v>
      </c>
      <c r="F17" s="483">
        <f>SUM(F11:F16)</f>
        <v>80000</v>
      </c>
      <c r="G17" s="483">
        <f>SUM(G11:G16)</f>
        <v>80000</v>
      </c>
      <c r="H17" s="483">
        <f>SUM(H11:H16)</f>
        <v>80000</v>
      </c>
    </row>
    <row r="18" spans="1:8">
      <c r="A18" s="404" t="s">
        <v>313</v>
      </c>
      <c r="B18" s="572"/>
      <c r="C18" s="561"/>
      <c r="D18" s="484"/>
      <c r="E18" s="484"/>
      <c r="F18" s="484"/>
      <c r="G18" s="484"/>
      <c r="H18" s="484"/>
    </row>
    <row r="19" spans="1:8">
      <c r="A19" s="404" t="s">
        <v>314</v>
      </c>
      <c r="B19" s="572"/>
      <c r="D19" s="492">
        <v>0.02</v>
      </c>
      <c r="E19" s="492">
        <v>0.02</v>
      </c>
      <c r="F19" s="492">
        <v>0.02</v>
      </c>
      <c r="G19" s="492">
        <v>0.02</v>
      </c>
      <c r="H19" s="492">
        <v>0.02</v>
      </c>
    </row>
    <row r="20" spans="1:8">
      <c r="A20" s="407" t="s">
        <v>148</v>
      </c>
      <c r="B20" s="573"/>
      <c r="C20" s="549" t="s">
        <v>368</v>
      </c>
      <c r="D20" s="485">
        <f>D19*D17</f>
        <v>1600</v>
      </c>
      <c r="E20" s="485">
        <f>E19*E17</f>
        <v>1600</v>
      </c>
      <c r="F20" s="485">
        <f>F19*F17</f>
        <v>1600</v>
      </c>
      <c r="G20" s="485">
        <f>G19*G17</f>
        <v>1600</v>
      </c>
      <c r="H20" s="485">
        <f>H19*H17</f>
        <v>1600</v>
      </c>
    </row>
    <row r="21" spans="1:8" ht="13" thickBot="1">
      <c r="A21" s="56" t="s">
        <v>50</v>
      </c>
      <c r="B21" s="574"/>
      <c r="C21" s="549" t="s">
        <v>368</v>
      </c>
      <c r="D21" s="486">
        <f>D17+D20</f>
        <v>81600</v>
      </c>
      <c r="E21" s="486">
        <f>E17+E20</f>
        <v>81600</v>
      </c>
      <c r="F21" s="486">
        <f>F17+F20</f>
        <v>81600</v>
      </c>
      <c r="G21" s="486">
        <f>G17+G20</f>
        <v>81600</v>
      </c>
      <c r="H21" s="486">
        <f>H17+H20</f>
        <v>81600</v>
      </c>
    </row>
    <row r="22" spans="1:8">
      <c r="A22" s="17" t="s">
        <v>46</v>
      </c>
      <c r="B22" s="575"/>
      <c r="C22" s="560"/>
      <c r="D22" s="493">
        <f>D21/D$7</f>
        <v>0.10063311720076244</v>
      </c>
      <c r="E22" s="493">
        <f>E21/E$7</f>
        <v>8.7524755368069737E-2</v>
      </c>
      <c r="F22" s="493">
        <f>F21/F$7</f>
        <v>7.8603955784674481E-2</v>
      </c>
      <c r="G22" s="493">
        <f>G21/G$7</f>
        <v>7.6660239314837286E-2</v>
      </c>
      <c r="H22" s="493">
        <f>H21/H$7</f>
        <v>7.455552388238422E-2</v>
      </c>
    </row>
    <row r="23" spans="1:8">
      <c r="C23" s="562"/>
      <c r="D23" s="484"/>
      <c r="E23" s="484"/>
      <c r="F23" s="484"/>
      <c r="G23" s="484"/>
      <c r="H23" s="484"/>
    </row>
    <row r="24" spans="1:8">
      <c r="A24" s="55" t="s">
        <v>408</v>
      </c>
      <c r="B24" s="571"/>
      <c r="C24" s="563"/>
      <c r="D24" s="484"/>
      <c r="E24" s="484"/>
      <c r="F24" s="484"/>
      <c r="G24" s="484"/>
      <c r="H24" s="484"/>
    </row>
    <row r="25" spans="1:8">
      <c r="A25" s="404" t="s">
        <v>411</v>
      </c>
      <c r="B25" s="585">
        <v>40000</v>
      </c>
      <c r="C25" s="587">
        <v>0</v>
      </c>
      <c r="D25" s="581">
        <f>$B$25*$C$25</f>
        <v>0</v>
      </c>
      <c r="E25" s="581">
        <f t="shared" ref="E25:H25" si="5">$B$25*$C$25</f>
        <v>0</v>
      </c>
      <c r="F25" s="581">
        <f t="shared" si="5"/>
        <v>0</v>
      </c>
      <c r="G25" s="581">
        <f t="shared" si="5"/>
        <v>0</v>
      </c>
      <c r="H25" s="581">
        <f t="shared" si="5"/>
        <v>0</v>
      </c>
    </row>
    <row r="26" spans="1:8">
      <c r="A26" s="404" t="s">
        <v>412</v>
      </c>
      <c r="B26" s="585">
        <v>30000</v>
      </c>
      <c r="C26" s="587">
        <v>1</v>
      </c>
      <c r="D26" s="581">
        <f>$B$26*$C$26</f>
        <v>30000</v>
      </c>
      <c r="E26" s="581">
        <f t="shared" ref="E26:H26" si="6">$B$26*$C$26</f>
        <v>30000</v>
      </c>
      <c r="F26" s="581">
        <f t="shared" si="6"/>
        <v>30000</v>
      </c>
      <c r="G26" s="581">
        <f t="shared" si="6"/>
        <v>30000</v>
      </c>
      <c r="H26" s="581">
        <f t="shared" si="6"/>
        <v>30000</v>
      </c>
    </row>
    <row r="27" spans="1:8">
      <c r="A27" s="404" t="s">
        <v>420</v>
      </c>
      <c r="B27" s="585">
        <v>40000</v>
      </c>
      <c r="C27" s="587">
        <v>1</v>
      </c>
      <c r="D27" s="581">
        <f>$B$27*$C$27</f>
        <v>40000</v>
      </c>
      <c r="E27" s="581">
        <f t="shared" ref="E27:H27" si="7">$B$27*$C$27</f>
        <v>40000</v>
      </c>
      <c r="F27" s="581">
        <f t="shared" si="7"/>
        <v>40000</v>
      </c>
      <c r="G27" s="581">
        <f t="shared" si="7"/>
        <v>40000</v>
      </c>
      <c r="H27" s="581">
        <f t="shared" si="7"/>
        <v>40000</v>
      </c>
    </row>
    <row r="28" spans="1:8">
      <c r="A28" s="404" t="s">
        <v>421</v>
      </c>
      <c r="B28" s="585">
        <v>40000</v>
      </c>
      <c r="C28" s="587">
        <v>1</v>
      </c>
      <c r="D28" s="581">
        <f>$B$28*$C$28</f>
        <v>40000</v>
      </c>
      <c r="E28" s="581">
        <f t="shared" ref="E28:H28" si="8">$B$28*$C$28</f>
        <v>40000</v>
      </c>
      <c r="F28" s="581">
        <f t="shared" si="8"/>
        <v>40000</v>
      </c>
      <c r="G28" s="581">
        <f t="shared" si="8"/>
        <v>40000</v>
      </c>
      <c r="H28" s="581">
        <f t="shared" si="8"/>
        <v>40000</v>
      </c>
    </row>
    <row r="29" spans="1:8">
      <c r="A29" s="404" t="s">
        <v>422</v>
      </c>
      <c r="B29" s="585">
        <v>40000</v>
      </c>
      <c r="C29" s="587">
        <v>0</v>
      </c>
      <c r="D29" s="581">
        <f>B29*C29</f>
        <v>0</v>
      </c>
      <c r="E29" s="581">
        <f>D29</f>
        <v>0</v>
      </c>
      <c r="F29" s="581">
        <f t="shared" ref="F29:H29" si="9">E29</f>
        <v>0</v>
      </c>
      <c r="G29" s="581">
        <f t="shared" si="9"/>
        <v>0</v>
      </c>
      <c r="H29" s="581">
        <f t="shared" si="9"/>
        <v>0</v>
      </c>
    </row>
    <row r="30" spans="1:8">
      <c r="A30" s="404" t="s">
        <v>311</v>
      </c>
      <c r="B30" s="572"/>
      <c r="C30" s="549"/>
      <c r="D30" s="582"/>
      <c r="E30" s="582"/>
      <c r="F30" s="582"/>
      <c r="G30" s="582"/>
      <c r="H30" s="582"/>
    </row>
    <row r="31" spans="1:8">
      <c r="A31" s="407" t="s">
        <v>312</v>
      </c>
      <c r="B31" s="573"/>
      <c r="C31" s="549" t="s">
        <v>368</v>
      </c>
      <c r="D31" s="483">
        <f>SUM(D25:D30)</f>
        <v>110000</v>
      </c>
      <c r="E31" s="483">
        <f>SUM(E25:E30)</f>
        <v>110000</v>
      </c>
      <c r="F31" s="483">
        <f>SUM(F25:F30)</f>
        <v>110000</v>
      </c>
      <c r="G31" s="483">
        <f>SUM(G25:G30)</f>
        <v>110000</v>
      </c>
      <c r="H31" s="483">
        <f>SUM(H25:H30)</f>
        <v>110000</v>
      </c>
    </row>
    <row r="32" spans="1:8">
      <c r="A32" s="404" t="s">
        <v>313</v>
      </c>
      <c r="B32" s="572"/>
      <c r="C32" s="563"/>
      <c r="D32" s="484"/>
      <c r="E32" s="484"/>
      <c r="F32" s="484"/>
      <c r="G32" s="484"/>
      <c r="H32" s="484"/>
    </row>
    <row r="33" spans="1:8">
      <c r="A33" s="404" t="s">
        <v>314</v>
      </c>
      <c r="B33" s="572"/>
      <c r="C33" s="564"/>
      <c r="D33" s="492">
        <v>0.02</v>
      </c>
      <c r="E33" s="492">
        <v>0.02</v>
      </c>
      <c r="F33" s="492">
        <v>0.02</v>
      </c>
      <c r="G33" s="492">
        <v>0.02</v>
      </c>
      <c r="H33" s="492">
        <v>0.02</v>
      </c>
    </row>
    <row r="34" spans="1:8">
      <c r="A34" s="407" t="s">
        <v>148</v>
      </c>
      <c r="B34" s="573"/>
      <c r="C34" s="549" t="s">
        <v>368</v>
      </c>
      <c r="D34" s="485">
        <f>D33*D31</f>
        <v>2200</v>
      </c>
      <c r="E34" s="485">
        <f>E33*E31</f>
        <v>2200</v>
      </c>
      <c r="F34" s="485">
        <f>F33*F31</f>
        <v>2200</v>
      </c>
      <c r="G34" s="485">
        <f>G33*G31</f>
        <v>2200</v>
      </c>
      <c r="H34" s="485">
        <f>H33*H31</f>
        <v>2200</v>
      </c>
    </row>
    <row r="35" spans="1:8" ht="13" thickBot="1">
      <c r="A35" s="56" t="s">
        <v>413</v>
      </c>
      <c r="B35" s="574"/>
      <c r="C35" s="549" t="s">
        <v>368</v>
      </c>
      <c r="D35" s="486">
        <f>D31+D34</f>
        <v>112200</v>
      </c>
      <c r="E35" s="486">
        <f>E31+E34</f>
        <v>112200</v>
      </c>
      <c r="F35" s="486">
        <f>F31+F34</f>
        <v>112200</v>
      </c>
      <c r="G35" s="486">
        <f>G31+G34</f>
        <v>112200</v>
      </c>
      <c r="H35" s="486">
        <f>H31+H34</f>
        <v>112200</v>
      </c>
    </row>
    <row r="36" spans="1:8">
      <c r="A36" s="17" t="s">
        <v>46</v>
      </c>
      <c r="B36" s="575"/>
      <c r="C36" s="560"/>
      <c r="D36" s="493">
        <f>D35/D$7</f>
        <v>0.13837053615104836</v>
      </c>
      <c r="E36" s="493">
        <f>E35/E$7</f>
        <v>0.1203465386310959</v>
      </c>
      <c r="F36" s="493">
        <f>F35/F$7</f>
        <v>0.10808043920392742</v>
      </c>
      <c r="G36" s="493">
        <f>G35/G$7</f>
        <v>0.10540782905790126</v>
      </c>
      <c r="H36" s="493">
        <f>H35/H$7</f>
        <v>0.1025138453382783</v>
      </c>
    </row>
    <row r="37" spans="1:8">
      <c r="C37" s="563"/>
      <c r="D37" s="484"/>
      <c r="E37" s="484"/>
      <c r="F37" s="484"/>
      <c r="G37" s="484"/>
      <c r="H37" s="484"/>
    </row>
    <row r="38" spans="1:8">
      <c r="A38" s="55" t="s">
        <v>407</v>
      </c>
      <c r="B38" s="571"/>
      <c r="C38" s="563"/>
      <c r="D38" s="484"/>
      <c r="E38" s="484"/>
      <c r="F38" s="484"/>
      <c r="G38" s="484"/>
      <c r="H38" s="484"/>
    </row>
    <row r="39" spans="1:8">
      <c r="A39" s="404" t="s">
        <v>430</v>
      </c>
      <c r="B39" s="585">
        <v>70000</v>
      </c>
      <c r="C39" s="587">
        <v>1</v>
      </c>
      <c r="D39" s="581">
        <f>B39</f>
        <v>70000</v>
      </c>
      <c r="E39" s="581">
        <f>D39</f>
        <v>70000</v>
      </c>
      <c r="F39" s="581">
        <f t="shared" ref="F39:H39" si="10">E39</f>
        <v>70000</v>
      </c>
      <c r="G39" s="581">
        <f t="shared" si="10"/>
        <v>70000</v>
      </c>
      <c r="H39" s="581">
        <f t="shared" si="10"/>
        <v>70000</v>
      </c>
    </row>
    <row r="40" spans="1:8">
      <c r="A40" s="404" t="s">
        <v>444</v>
      </c>
      <c r="B40" s="585">
        <v>60000</v>
      </c>
      <c r="C40" s="587">
        <v>0</v>
      </c>
      <c r="D40" s="581">
        <f t="shared" ref="D40:D44" si="11">B40*C40</f>
        <v>0</v>
      </c>
      <c r="E40" s="581">
        <f t="shared" ref="E40:H44" si="12">D40</f>
        <v>0</v>
      </c>
      <c r="F40" s="581">
        <f t="shared" si="12"/>
        <v>0</v>
      </c>
      <c r="G40" s="581">
        <f t="shared" si="12"/>
        <v>0</v>
      </c>
      <c r="H40" s="581">
        <f t="shared" si="12"/>
        <v>0</v>
      </c>
    </row>
    <row r="41" spans="1:8">
      <c r="A41" s="404" t="s">
        <v>443</v>
      </c>
      <c r="B41" s="585">
        <v>60000</v>
      </c>
      <c r="C41" s="587">
        <v>0</v>
      </c>
      <c r="D41" s="581">
        <f t="shared" si="11"/>
        <v>0</v>
      </c>
      <c r="E41" s="581">
        <f t="shared" si="12"/>
        <v>0</v>
      </c>
      <c r="F41" s="581">
        <f t="shared" si="12"/>
        <v>0</v>
      </c>
      <c r="G41" s="581">
        <f t="shared" si="12"/>
        <v>0</v>
      </c>
      <c r="H41" s="581">
        <f t="shared" si="12"/>
        <v>0</v>
      </c>
    </row>
    <row r="42" spans="1:8">
      <c r="A42" s="404" t="s">
        <v>442</v>
      </c>
      <c r="B42" s="585">
        <v>60000</v>
      </c>
      <c r="C42" s="587">
        <v>0</v>
      </c>
      <c r="D42" s="581">
        <f t="shared" si="11"/>
        <v>0</v>
      </c>
      <c r="E42" s="581">
        <f t="shared" si="12"/>
        <v>0</v>
      </c>
      <c r="F42" s="581">
        <f t="shared" si="12"/>
        <v>0</v>
      </c>
      <c r="G42" s="581">
        <f t="shared" si="12"/>
        <v>0</v>
      </c>
      <c r="H42" s="581">
        <f t="shared" si="12"/>
        <v>0</v>
      </c>
    </row>
    <row r="43" spans="1:8">
      <c r="A43" s="404" t="s">
        <v>441</v>
      </c>
      <c r="B43" s="585">
        <v>50000</v>
      </c>
      <c r="C43" s="587">
        <v>1</v>
      </c>
      <c r="D43" s="581">
        <f t="shared" si="11"/>
        <v>50000</v>
      </c>
      <c r="E43" s="581">
        <f t="shared" si="12"/>
        <v>50000</v>
      </c>
      <c r="F43" s="581">
        <f t="shared" si="12"/>
        <v>50000</v>
      </c>
      <c r="G43" s="581">
        <f t="shared" si="12"/>
        <v>50000</v>
      </c>
      <c r="H43" s="581">
        <f t="shared" si="12"/>
        <v>50000</v>
      </c>
    </row>
    <row r="44" spans="1:8">
      <c r="A44" s="404" t="s">
        <v>409</v>
      </c>
      <c r="B44" s="585">
        <v>25000</v>
      </c>
      <c r="C44" s="587">
        <v>1</v>
      </c>
      <c r="D44" s="581">
        <f t="shared" si="11"/>
        <v>25000</v>
      </c>
      <c r="E44" s="581">
        <f t="shared" si="12"/>
        <v>25000</v>
      </c>
      <c r="F44" s="581">
        <f t="shared" si="12"/>
        <v>25000</v>
      </c>
      <c r="G44" s="581">
        <f t="shared" si="12"/>
        <v>25000</v>
      </c>
      <c r="H44" s="581">
        <f t="shared" si="12"/>
        <v>25000</v>
      </c>
    </row>
    <row r="45" spans="1:8">
      <c r="A45" s="404" t="s">
        <v>311</v>
      </c>
      <c r="B45" s="572"/>
      <c r="C45" s="549"/>
      <c r="D45" s="581"/>
      <c r="E45" s="581"/>
      <c r="F45" s="581"/>
      <c r="G45" s="581"/>
      <c r="H45" s="581"/>
    </row>
    <row r="46" spans="1:8">
      <c r="A46" s="404" t="s">
        <v>311</v>
      </c>
      <c r="B46" s="572"/>
      <c r="C46" s="549"/>
      <c r="D46" s="582"/>
      <c r="E46" s="582"/>
      <c r="F46" s="582"/>
      <c r="G46" s="582"/>
      <c r="H46" s="582"/>
    </row>
    <row r="47" spans="1:8">
      <c r="A47" s="407" t="s">
        <v>312</v>
      </c>
      <c r="B47" s="573"/>
      <c r="C47" s="549" t="s">
        <v>368</v>
      </c>
      <c r="D47" s="483">
        <f>SUM(D39:D46)</f>
        <v>145000</v>
      </c>
      <c r="E47" s="483">
        <f>SUM(E39:E46)</f>
        <v>145000</v>
      </c>
      <c r="F47" s="483">
        <f>SUM(F39:F46)</f>
        <v>145000</v>
      </c>
      <c r="G47" s="483">
        <f>SUM(G39:G46)</f>
        <v>145000</v>
      </c>
      <c r="H47" s="483">
        <f>SUM(H39:H46)</f>
        <v>145000</v>
      </c>
    </row>
    <row r="48" spans="1:8">
      <c r="A48" s="404" t="s">
        <v>313</v>
      </c>
      <c r="B48" s="572"/>
      <c r="C48" s="563"/>
      <c r="D48" s="484"/>
      <c r="E48" s="484"/>
      <c r="F48" s="484"/>
      <c r="G48" s="484"/>
      <c r="H48" s="484"/>
    </row>
    <row r="49" spans="1:8">
      <c r="A49" s="404" t="s">
        <v>314</v>
      </c>
      <c r="B49" s="572"/>
      <c r="C49" s="565">
        <v>0.02</v>
      </c>
      <c r="D49" s="492">
        <f>C49</f>
        <v>0.02</v>
      </c>
      <c r="E49" s="492">
        <f t="shared" ref="E49:H49" si="13">D49</f>
        <v>0.02</v>
      </c>
      <c r="F49" s="492">
        <f t="shared" si="13"/>
        <v>0.02</v>
      </c>
      <c r="G49" s="492">
        <f t="shared" si="13"/>
        <v>0.02</v>
      </c>
      <c r="H49" s="492">
        <f t="shared" si="13"/>
        <v>0.02</v>
      </c>
    </row>
    <row r="50" spans="1:8">
      <c r="A50" s="407" t="s">
        <v>148</v>
      </c>
      <c r="B50" s="573"/>
      <c r="C50" s="549" t="s">
        <v>368</v>
      </c>
      <c r="D50" s="485">
        <f>D49*D47</f>
        <v>2900</v>
      </c>
      <c r="E50" s="485">
        <f>E49*E47</f>
        <v>2900</v>
      </c>
      <c r="F50" s="485">
        <f>F49*F47</f>
        <v>2900</v>
      </c>
      <c r="G50" s="485">
        <f>G49*G47</f>
        <v>2900</v>
      </c>
      <c r="H50" s="485">
        <f>H49*H47</f>
        <v>2900</v>
      </c>
    </row>
    <row r="51" spans="1:8" ht="13" thickBot="1">
      <c r="A51" s="56" t="s">
        <v>414</v>
      </c>
      <c r="B51" s="574"/>
      <c r="C51" s="549" t="s">
        <v>368</v>
      </c>
      <c r="D51" s="486">
        <f>D47+D50</f>
        <v>147900</v>
      </c>
      <c r="E51" s="486">
        <f>E47+E50</f>
        <v>147900</v>
      </c>
      <c r="F51" s="486">
        <f>F47+F50</f>
        <v>147900</v>
      </c>
      <c r="G51" s="486">
        <f>G47+G50</f>
        <v>147900</v>
      </c>
      <c r="H51" s="486">
        <f>H47+H50</f>
        <v>147900</v>
      </c>
    </row>
    <row r="52" spans="1:8">
      <c r="A52" s="17" t="s">
        <v>46</v>
      </c>
      <c r="B52" s="575"/>
      <c r="C52" s="560"/>
      <c r="D52" s="493">
        <f>D51/D$7</f>
        <v>0.18239752492638192</v>
      </c>
      <c r="E52" s="493">
        <f>E51/E$7</f>
        <v>0.1586386191046264</v>
      </c>
      <c r="F52" s="493">
        <f>F51/F$7</f>
        <v>0.14246966985972251</v>
      </c>
      <c r="G52" s="493">
        <f>G51/G$7</f>
        <v>0.13894668375814256</v>
      </c>
      <c r="H52" s="493">
        <f>H51/H$7</f>
        <v>0.13513188703682141</v>
      </c>
    </row>
    <row r="53" spans="1:8">
      <c r="A53" s="17"/>
      <c r="B53" s="575"/>
      <c r="C53" s="560"/>
      <c r="D53" s="487"/>
      <c r="E53" s="487"/>
      <c r="F53" s="487"/>
      <c r="G53" s="487"/>
      <c r="H53" s="487"/>
    </row>
    <row r="54" spans="1:8">
      <c r="A54" s="219" t="s">
        <v>415</v>
      </c>
      <c r="B54" s="576"/>
      <c r="C54" s="560"/>
      <c r="D54" s="487"/>
      <c r="E54" s="487"/>
      <c r="F54" s="487"/>
      <c r="G54" s="487"/>
      <c r="H54" s="487"/>
    </row>
    <row r="55" spans="1:8">
      <c r="A55" s="409" t="s">
        <v>417</v>
      </c>
      <c r="B55" s="586">
        <v>40000</v>
      </c>
      <c r="C55" s="587">
        <v>1</v>
      </c>
      <c r="D55" s="583">
        <f>B55*C55</f>
        <v>40000</v>
      </c>
      <c r="E55" s="583">
        <f>D55</f>
        <v>40000</v>
      </c>
      <c r="F55" s="583">
        <f t="shared" ref="F55:H55" si="14">E55</f>
        <v>40000</v>
      </c>
      <c r="G55" s="583">
        <f t="shared" si="14"/>
        <v>40000</v>
      </c>
      <c r="H55" s="583">
        <f t="shared" si="14"/>
        <v>40000</v>
      </c>
    </row>
    <row r="56" spans="1:8">
      <c r="A56" s="409" t="s">
        <v>419</v>
      </c>
      <c r="B56" s="586">
        <f>45000</f>
        <v>45000</v>
      </c>
      <c r="C56" s="587">
        <v>0</v>
      </c>
      <c r="D56" s="583">
        <f>B56*C56</f>
        <v>0</v>
      </c>
      <c r="E56" s="583">
        <f t="shared" ref="E56:H56" si="15">D56</f>
        <v>0</v>
      </c>
      <c r="F56" s="583">
        <f t="shared" si="15"/>
        <v>0</v>
      </c>
      <c r="G56" s="583">
        <f t="shared" si="15"/>
        <v>0</v>
      </c>
      <c r="H56" s="583">
        <f t="shared" si="15"/>
        <v>0</v>
      </c>
    </row>
    <row r="57" spans="1:8">
      <c r="A57" s="409" t="s">
        <v>418</v>
      </c>
      <c r="B57" s="586">
        <v>30000</v>
      </c>
      <c r="C57" s="587">
        <v>0</v>
      </c>
      <c r="D57" s="583">
        <f>B57*C57</f>
        <v>0</v>
      </c>
      <c r="E57" s="583">
        <f t="shared" ref="E57:H57" si="16">D57</f>
        <v>0</v>
      </c>
      <c r="F57" s="583">
        <f t="shared" si="16"/>
        <v>0</v>
      </c>
      <c r="G57" s="583">
        <f t="shared" si="16"/>
        <v>0</v>
      </c>
      <c r="H57" s="583">
        <f t="shared" si="16"/>
        <v>0</v>
      </c>
    </row>
    <row r="58" spans="1:8">
      <c r="A58" s="409" t="s">
        <v>405</v>
      </c>
      <c r="B58" s="586">
        <v>50000</v>
      </c>
      <c r="C58" s="587">
        <v>0</v>
      </c>
      <c r="D58" s="583">
        <f>B58*C58</f>
        <v>0</v>
      </c>
      <c r="E58" s="583">
        <f t="shared" ref="E58:H58" si="17">D58</f>
        <v>0</v>
      </c>
      <c r="F58" s="583">
        <f t="shared" si="17"/>
        <v>0</v>
      </c>
      <c r="G58" s="583">
        <f t="shared" si="17"/>
        <v>0</v>
      </c>
      <c r="H58" s="583">
        <f t="shared" si="17"/>
        <v>0</v>
      </c>
    </row>
    <row r="59" spans="1:8">
      <c r="A59" s="409" t="s">
        <v>315</v>
      </c>
      <c r="B59" s="577"/>
      <c r="C59" s="549"/>
      <c r="D59" s="584"/>
      <c r="E59" s="584"/>
      <c r="F59" s="584"/>
      <c r="G59" s="584"/>
      <c r="H59" s="584"/>
    </row>
    <row r="60" spans="1:8">
      <c r="A60" s="410" t="s">
        <v>312</v>
      </c>
      <c r="B60" s="578"/>
      <c r="C60" s="549" t="s">
        <v>368</v>
      </c>
      <c r="D60" s="488">
        <f>SUM(D55:D59)</f>
        <v>40000</v>
      </c>
      <c r="E60" s="488">
        <f>SUM(E55:E59)</f>
        <v>40000</v>
      </c>
      <c r="F60" s="488">
        <f>SUM(F55:F59)</f>
        <v>40000</v>
      </c>
      <c r="G60" s="488">
        <f>SUM(G55:G59)</f>
        <v>40000</v>
      </c>
      <c r="H60" s="488">
        <f>SUM(H55:H59)</f>
        <v>40000</v>
      </c>
    </row>
    <row r="61" spans="1:8">
      <c r="A61" s="407" t="s">
        <v>313</v>
      </c>
      <c r="B61" s="573"/>
      <c r="C61" s="560"/>
      <c r="D61" s="484"/>
      <c r="E61" s="484"/>
      <c r="F61" s="484"/>
      <c r="G61" s="484"/>
      <c r="H61" s="484"/>
    </row>
    <row r="62" spans="1:8">
      <c r="A62" s="407" t="s">
        <v>314</v>
      </c>
      <c r="B62" s="573"/>
      <c r="C62" s="566">
        <v>2.5000000000000001E-2</v>
      </c>
      <c r="D62" s="494">
        <f>C62</f>
        <v>2.5000000000000001E-2</v>
      </c>
      <c r="E62" s="494">
        <f t="shared" ref="E62:H62" si="18">D62</f>
        <v>2.5000000000000001E-2</v>
      </c>
      <c r="F62" s="494">
        <f t="shared" si="18"/>
        <v>2.5000000000000001E-2</v>
      </c>
      <c r="G62" s="494">
        <f t="shared" si="18"/>
        <v>2.5000000000000001E-2</v>
      </c>
      <c r="H62" s="494">
        <f t="shared" si="18"/>
        <v>2.5000000000000001E-2</v>
      </c>
    </row>
    <row r="63" spans="1:8">
      <c r="A63" s="411" t="s">
        <v>148</v>
      </c>
      <c r="B63" s="579"/>
      <c r="C63" s="549" t="s">
        <v>368</v>
      </c>
      <c r="D63" s="485">
        <f>D62*D60</f>
        <v>1000</v>
      </c>
      <c r="E63" s="485">
        <f>E62*E60</f>
        <v>1000</v>
      </c>
      <c r="F63" s="485">
        <f>F62*F60</f>
        <v>1000</v>
      </c>
      <c r="G63" s="485">
        <f>G62*G60</f>
        <v>1000</v>
      </c>
      <c r="H63" s="485">
        <f>H62*H60</f>
        <v>1000</v>
      </c>
    </row>
    <row r="64" spans="1:8" ht="13" thickBot="1">
      <c r="A64" s="407" t="s">
        <v>155</v>
      </c>
      <c r="B64" s="573"/>
      <c r="C64" s="549" t="s">
        <v>368</v>
      </c>
      <c r="D64" s="528">
        <f>D60+D63</f>
        <v>41000</v>
      </c>
      <c r="E64" s="528">
        <f>E60+E63</f>
        <v>41000</v>
      </c>
      <c r="F64" s="528">
        <f>F60+F63</f>
        <v>41000</v>
      </c>
      <c r="G64" s="528">
        <f>G60+G63</f>
        <v>41000</v>
      </c>
      <c r="H64" s="528">
        <f>H60+H63</f>
        <v>41000</v>
      </c>
    </row>
    <row r="65" spans="1:8">
      <c r="A65" s="17" t="s">
        <v>46</v>
      </c>
      <c r="B65" s="575"/>
      <c r="C65" s="560"/>
      <c r="D65" s="493">
        <f>D64/D7</f>
        <v>5.0563208397441918E-2</v>
      </c>
      <c r="E65" s="493">
        <f t="shared" ref="E65:H65" si="19">E64/E7</f>
        <v>4.3976899143270333E-2</v>
      </c>
      <c r="F65" s="493">
        <f t="shared" si="19"/>
        <v>3.9494634646711442E-2</v>
      </c>
      <c r="G65" s="493">
        <f t="shared" si="19"/>
        <v>3.8518012400837361E-2</v>
      </c>
      <c r="H65" s="493">
        <f t="shared" si="19"/>
        <v>3.7460496068354818E-2</v>
      </c>
    </row>
    <row r="66" spans="1:8">
      <c r="A66" s="407"/>
      <c r="B66" s="573"/>
      <c r="C66" s="560"/>
      <c r="D66" s="527"/>
      <c r="E66" s="527"/>
      <c r="F66" s="527"/>
      <c r="G66" s="527"/>
      <c r="H66" s="527"/>
    </row>
    <row r="67" spans="1:8">
      <c r="A67" s="216" t="s">
        <v>153</v>
      </c>
      <c r="B67" s="580"/>
      <c r="C67" s="560"/>
      <c r="D67" s="527"/>
      <c r="E67" s="527"/>
      <c r="F67" s="527"/>
      <c r="G67" s="527"/>
      <c r="H67" s="527"/>
    </row>
    <row r="68" spans="1:8">
      <c r="A68" s="407" t="s">
        <v>149</v>
      </c>
      <c r="B68" s="573"/>
      <c r="C68" s="567">
        <v>10</v>
      </c>
      <c r="D68" s="598">
        <f>C68</f>
        <v>10</v>
      </c>
      <c r="E68" s="598">
        <f t="shared" ref="E68:H68" si="20">D68</f>
        <v>10</v>
      </c>
      <c r="F68" s="598">
        <f t="shared" si="20"/>
        <v>10</v>
      </c>
      <c r="G68" s="598">
        <f t="shared" si="20"/>
        <v>10</v>
      </c>
      <c r="H68" s="598">
        <f t="shared" si="20"/>
        <v>10</v>
      </c>
    </row>
    <row r="69" spans="1:8">
      <c r="A69" s="407" t="s">
        <v>152</v>
      </c>
      <c r="B69" s="573"/>
      <c r="C69" s="549" t="s">
        <v>368</v>
      </c>
      <c r="D69" s="491">
        <v>10000</v>
      </c>
      <c r="E69" s="491">
        <v>10000</v>
      </c>
      <c r="F69" s="491">
        <v>10000</v>
      </c>
      <c r="G69" s="491">
        <v>10000</v>
      </c>
      <c r="H69" s="491">
        <v>10000</v>
      </c>
    </row>
    <row r="70" spans="1:8">
      <c r="A70" s="411" t="s">
        <v>150</v>
      </c>
      <c r="B70" s="579"/>
      <c r="C70" s="549" t="s">
        <v>368</v>
      </c>
      <c r="D70" s="489">
        <f>D68*D69</f>
        <v>100000</v>
      </c>
      <c r="E70" s="489">
        <f>E68*E69</f>
        <v>100000</v>
      </c>
      <c r="F70" s="489">
        <f>F68*F69</f>
        <v>100000</v>
      </c>
      <c r="G70" s="489">
        <f>G68*G69</f>
        <v>100000</v>
      </c>
      <c r="H70" s="489">
        <f>H68*H69</f>
        <v>100000</v>
      </c>
    </row>
    <row r="71" spans="1:8">
      <c r="A71" s="407" t="s">
        <v>313</v>
      </c>
      <c r="B71" s="573"/>
      <c r="C71" s="560"/>
      <c r="D71" s="490"/>
      <c r="E71" s="490"/>
      <c r="F71" s="490"/>
      <c r="G71" s="490"/>
      <c r="H71" s="490"/>
    </row>
    <row r="72" spans="1:8">
      <c r="A72" s="407" t="s">
        <v>314</v>
      </c>
      <c r="B72" s="573"/>
      <c r="C72" s="560">
        <v>0.01</v>
      </c>
      <c r="D72" s="599">
        <f>C72</f>
        <v>0.01</v>
      </c>
      <c r="E72" s="599">
        <f t="shared" ref="E72:H72" si="21">D72</f>
        <v>0.01</v>
      </c>
      <c r="F72" s="599">
        <f t="shared" si="21"/>
        <v>0.01</v>
      </c>
      <c r="G72" s="599">
        <f t="shared" si="21"/>
        <v>0.01</v>
      </c>
      <c r="H72" s="599">
        <f t="shared" si="21"/>
        <v>0.01</v>
      </c>
    </row>
    <row r="73" spans="1:8">
      <c r="A73" s="411" t="s">
        <v>148</v>
      </c>
      <c r="B73" s="579"/>
      <c r="C73" s="549" t="s">
        <v>368</v>
      </c>
      <c r="D73" s="489">
        <f>D70*D72</f>
        <v>1000</v>
      </c>
      <c r="E73" s="489">
        <f>E70*E72</f>
        <v>1000</v>
      </c>
      <c r="F73" s="489">
        <f>F70*F72</f>
        <v>1000</v>
      </c>
      <c r="G73" s="489">
        <f>G70*G72</f>
        <v>1000</v>
      </c>
      <c r="H73" s="489">
        <f>H70*H72</f>
        <v>1000</v>
      </c>
    </row>
    <row r="74" spans="1:8">
      <c r="A74" s="407" t="s">
        <v>154</v>
      </c>
      <c r="B74" s="573"/>
      <c r="C74" s="549" t="s">
        <v>368</v>
      </c>
      <c r="D74" s="483">
        <f>D70+D73</f>
        <v>101000</v>
      </c>
      <c r="E74" s="483">
        <f>E70+E73</f>
        <v>101000</v>
      </c>
      <c r="F74" s="483">
        <f>F70+F73</f>
        <v>101000</v>
      </c>
      <c r="G74" s="483">
        <f>G70+G73</f>
        <v>101000</v>
      </c>
      <c r="H74" s="483">
        <f>H70+H73</f>
        <v>101000</v>
      </c>
    </row>
    <row r="75" spans="1:8" ht="13" thickBot="1">
      <c r="A75" s="56" t="s">
        <v>424</v>
      </c>
      <c r="B75" s="574"/>
      <c r="C75" s="549" t="s">
        <v>368</v>
      </c>
      <c r="D75" s="486">
        <f>D74</f>
        <v>101000</v>
      </c>
      <c r="E75" s="486">
        <f t="shared" ref="E75:H75" si="22">E74</f>
        <v>101000</v>
      </c>
      <c r="F75" s="486">
        <f t="shared" si="22"/>
        <v>101000</v>
      </c>
      <c r="G75" s="486">
        <f t="shared" si="22"/>
        <v>101000</v>
      </c>
      <c r="H75" s="486">
        <f t="shared" si="22"/>
        <v>101000</v>
      </c>
    </row>
    <row r="76" spans="1:8">
      <c r="A76" s="17" t="s">
        <v>46</v>
      </c>
      <c r="B76" s="575"/>
      <c r="C76" s="560"/>
      <c r="D76" s="493">
        <f>D75/D$7</f>
        <v>0.1245581475156496</v>
      </c>
      <c r="E76" s="493">
        <f>E75/E$7</f>
        <v>0.10833333691390985</v>
      </c>
      <c r="F76" s="493">
        <f>F75/F$7</f>
        <v>9.7291660958972098E-2</v>
      </c>
      <c r="G76" s="493">
        <f>G75/G$7</f>
        <v>9.4885835426453013E-2</v>
      </c>
      <c r="H76" s="493">
        <f>H75/H$7</f>
        <v>9.2280734217166746E-2</v>
      </c>
    </row>
    <row r="77" spans="1:8">
      <c r="C77" s="560"/>
      <c r="D77" s="482"/>
      <c r="E77" s="482"/>
      <c r="F77" s="482"/>
      <c r="G77" s="482"/>
      <c r="H77" s="482"/>
    </row>
    <row r="78" spans="1:8">
      <c r="A78" s="55" t="s">
        <v>312</v>
      </c>
      <c r="B78" s="571"/>
      <c r="C78" s="549" t="s">
        <v>368</v>
      </c>
      <c r="D78" s="483">
        <f>D17+D31+D47+D60</f>
        <v>375000</v>
      </c>
      <c r="E78" s="483">
        <f t="shared" ref="E78:H78" si="23">E17+E31+E47+E60</f>
        <v>375000</v>
      </c>
      <c r="F78" s="483">
        <f t="shared" si="23"/>
        <v>375000</v>
      </c>
      <c r="G78" s="483">
        <f t="shared" si="23"/>
        <v>375000</v>
      </c>
      <c r="H78" s="483">
        <f t="shared" si="23"/>
        <v>375000</v>
      </c>
    </row>
    <row r="79" spans="1:8">
      <c r="A79" s="55" t="s">
        <v>423</v>
      </c>
      <c r="B79" s="571"/>
      <c r="C79" s="549" t="s">
        <v>368</v>
      </c>
      <c r="D79" s="483">
        <f>D75</f>
        <v>101000</v>
      </c>
      <c r="E79" s="483">
        <f t="shared" ref="E79:H79" si="24">E75</f>
        <v>101000</v>
      </c>
      <c r="F79" s="483">
        <f t="shared" si="24"/>
        <v>101000</v>
      </c>
      <c r="G79" s="483">
        <f t="shared" si="24"/>
        <v>101000</v>
      </c>
      <c r="H79" s="483">
        <f t="shared" si="24"/>
        <v>101000</v>
      </c>
    </row>
    <row r="80" spans="1:8">
      <c r="A80" s="55" t="s">
        <v>125</v>
      </c>
      <c r="B80" s="571"/>
      <c r="C80" s="549" t="s">
        <v>368</v>
      </c>
      <c r="D80" s="483">
        <f>D20+D34+D50+D63+D73</f>
        <v>8700</v>
      </c>
      <c r="E80" s="483">
        <f t="shared" ref="E80:H80" si="25">E20+E34+E50+E63+E73</f>
        <v>8700</v>
      </c>
      <c r="F80" s="483">
        <f t="shared" si="25"/>
        <v>8700</v>
      </c>
      <c r="G80" s="483">
        <f t="shared" si="25"/>
        <v>8700</v>
      </c>
      <c r="H80" s="483">
        <f t="shared" si="25"/>
        <v>8700</v>
      </c>
    </row>
    <row r="81" spans="1:8" ht="13" thickBot="1">
      <c r="A81" s="55" t="s">
        <v>151</v>
      </c>
      <c r="B81" s="571"/>
      <c r="C81" s="549" t="s">
        <v>368</v>
      </c>
      <c r="D81" s="529">
        <f>D21+D35+D51+D64+D75</f>
        <v>483700</v>
      </c>
      <c r="E81" s="529">
        <f>E21+E35+E51+E64+E75</f>
        <v>483700</v>
      </c>
      <c r="F81" s="529">
        <f>F21+F35+F51+F64+F75</f>
        <v>483700</v>
      </c>
      <c r="G81" s="529">
        <f>G21+G35+G51+G64+G75</f>
        <v>483700</v>
      </c>
      <c r="H81" s="529">
        <f>H21+H35+H51+H64+H75</f>
        <v>483700</v>
      </c>
    </row>
    <row r="82" spans="1:8" ht="13" thickTop="1">
      <c r="A82" s="17" t="s">
        <v>46</v>
      </c>
      <c r="B82" s="575"/>
      <c r="D82" s="408">
        <f>D81/D$7</f>
        <v>0.5965225341912842</v>
      </c>
      <c r="E82" s="408">
        <f>E81/E$7</f>
        <v>0.51882014916097219</v>
      </c>
      <c r="F82" s="408">
        <f>F81/F$7</f>
        <v>0.46594036045400794</v>
      </c>
      <c r="G82" s="408">
        <f>G81/G$7</f>
        <v>0.45441859995817147</v>
      </c>
      <c r="H82" s="408">
        <f>H81/H$7</f>
        <v>0.4419424865430055</v>
      </c>
    </row>
    <row r="83" spans="1:8">
      <c r="C83" s="563"/>
    </row>
    <row r="84" spans="1:8">
      <c r="C84" s="563"/>
    </row>
    <row r="85" spans="1:8">
      <c r="C85" s="563"/>
    </row>
    <row r="86" spans="1:8">
      <c r="C86" s="563"/>
    </row>
    <row r="87" spans="1:8">
      <c r="C87" s="563"/>
    </row>
    <row r="88" spans="1:8">
      <c r="C88" s="563"/>
    </row>
    <row r="89" spans="1:8">
      <c r="C89" s="563"/>
    </row>
    <row r="90" spans="1:8">
      <c r="C90" s="563"/>
    </row>
    <row r="91" spans="1:8">
      <c r="C91" s="563"/>
    </row>
    <row r="92" spans="1:8">
      <c r="C92" s="563"/>
    </row>
    <row r="93" spans="1:8">
      <c r="C93" s="563"/>
    </row>
    <row r="94" spans="1:8">
      <c r="C94" s="563"/>
    </row>
    <row r="95" spans="1:8">
      <c r="C95" s="563"/>
    </row>
    <row r="96" spans="1:8">
      <c r="C96" s="563"/>
    </row>
    <row r="97" spans="3:3">
      <c r="C97" s="563"/>
    </row>
    <row r="98" spans="3:3">
      <c r="C98" s="563"/>
    </row>
  </sheetData>
  <phoneticPr fontId="0" type="noConversion"/>
  <pageMargins left="0.75" right="0.75" top="0.5" bottom="0.5" header="0.5" footer="0.5"/>
  <pageSetup scale="73" fitToHeight="2" orientation="portrait" horizontalDpi="300" verticalDpi="300"/>
  <headerFooter alignWithMargins="0">
    <oddHeader>&amp;R&amp;D
&amp;T</oddHeader>
  </headerFooter>
  <rowBreaks count="1" manualBreakCount="1">
    <brk id="8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H104"/>
  <sheetViews>
    <sheetView zoomScale="85" zoomScaleNormal="85" zoomScalePageLayoutView="85" workbookViewId="0">
      <selection activeCell="C15" sqref="C15"/>
    </sheetView>
  </sheetViews>
  <sheetFormatPr baseColWidth="10" defaultColWidth="8.7109375" defaultRowHeight="13" x14ac:dyDescent="0"/>
  <cols>
    <col min="1" max="1" width="36.140625" style="19" customWidth="1"/>
    <col min="2" max="2" width="10.28515625" style="19" customWidth="1"/>
    <col min="3" max="3" width="11.28515625" style="19" customWidth="1"/>
    <col min="4" max="4" width="10.7109375" style="19" customWidth="1"/>
    <col min="5" max="5" width="13.28515625" style="19" customWidth="1"/>
    <col min="6" max="6" width="12.85546875" style="19" customWidth="1"/>
    <col min="7" max="7" width="13.140625" style="19" customWidth="1"/>
    <col min="8" max="16384" width="8.7109375" style="19"/>
  </cols>
  <sheetData>
    <row r="1" spans="1:8" s="140" customFormat="1" ht="25">
      <c r="A1" s="138" t="str">
        <f>PERSONNEL!A1</f>
        <v>AQUAPONICS FARMING</v>
      </c>
      <c r="B1" s="520"/>
      <c r="C1" s="202"/>
      <c r="D1" s="202"/>
      <c r="E1" s="202"/>
      <c r="F1" s="202"/>
      <c r="G1" s="202"/>
      <c r="H1" s="139"/>
    </row>
    <row r="2" spans="1:8" s="144" customFormat="1" ht="16">
      <c r="A2" s="141" t="s">
        <v>158</v>
      </c>
      <c r="B2" s="142"/>
      <c r="C2" s="142"/>
      <c r="D2" s="142"/>
      <c r="E2" s="142"/>
      <c r="F2" s="142"/>
      <c r="G2" s="142"/>
      <c r="H2" s="143"/>
    </row>
    <row r="3" spans="1:8" s="144" customFormat="1" ht="16">
      <c r="A3" s="141" t="s">
        <v>53</v>
      </c>
      <c r="B3" s="142"/>
      <c r="C3" s="142"/>
      <c r="D3" s="142"/>
      <c r="E3" s="142"/>
      <c r="F3" s="142"/>
      <c r="G3" s="142"/>
      <c r="H3" s="143"/>
    </row>
    <row r="4" spans="1:8" s="144" customFormat="1" ht="16">
      <c r="A4" s="141" t="s">
        <v>75</v>
      </c>
      <c r="B4" s="145"/>
      <c r="C4" s="142"/>
      <c r="D4" s="142"/>
      <c r="E4" s="142"/>
      <c r="F4" s="142"/>
      <c r="G4" s="142"/>
      <c r="H4" s="143"/>
    </row>
    <row r="5" spans="1:8" ht="15">
      <c r="A5" s="34"/>
      <c r="B5" s="52" t="s">
        <v>304</v>
      </c>
      <c r="C5" s="52" t="s">
        <v>54</v>
      </c>
      <c r="D5" s="52" t="s">
        <v>55</v>
      </c>
      <c r="E5" s="52" t="s">
        <v>56</v>
      </c>
      <c r="F5" s="52" t="s">
        <v>57</v>
      </c>
      <c r="G5" s="52" t="s">
        <v>58</v>
      </c>
    </row>
    <row r="6" spans="1:8" s="27" customFormat="1">
      <c r="A6" s="34"/>
      <c r="B6" s="372" t="s">
        <v>303</v>
      </c>
      <c r="C6" s="60"/>
      <c r="D6" s="60"/>
      <c r="E6" s="60"/>
      <c r="F6" s="60"/>
      <c r="G6" s="60"/>
    </row>
    <row r="7" spans="1:8" s="27" customFormat="1">
      <c r="A7" s="44" t="s">
        <v>47</v>
      </c>
      <c r="B7" s="373" t="s">
        <v>302</v>
      </c>
      <c r="C7" s="66">
        <f>REVENUE!C19</f>
        <v>810866.26619354845</v>
      </c>
      <c r="D7" s="66">
        <f>REVENUE!D19</f>
        <v>932307.66149354842</v>
      </c>
      <c r="E7" s="66">
        <f>REVENUE!E19</f>
        <v>1038115.6925935483</v>
      </c>
      <c r="F7" s="66">
        <f>REVENUE!F19</f>
        <v>1064437.0631935485</v>
      </c>
      <c r="G7" s="66">
        <f>REVENUE!G19</f>
        <v>1094486.3069935483</v>
      </c>
    </row>
    <row r="8" spans="1:8" s="27" customFormat="1">
      <c r="A8" s="34"/>
      <c r="B8" s="110"/>
      <c r="C8" s="60"/>
      <c r="D8" s="60"/>
      <c r="E8" s="60"/>
      <c r="F8" s="60"/>
      <c r="G8" s="60"/>
    </row>
    <row r="9" spans="1:8">
      <c r="A9" s="53" t="s">
        <v>1</v>
      </c>
      <c r="B9" s="111"/>
      <c r="C9" s="111"/>
      <c r="D9" s="111"/>
      <c r="E9" s="111"/>
      <c r="F9" s="111"/>
      <c r="G9" s="111"/>
    </row>
    <row r="10" spans="1:8">
      <c r="A10" s="427" t="s">
        <v>353</v>
      </c>
      <c r="B10" s="592" t="s">
        <v>435</v>
      </c>
      <c r="C10" s="112"/>
      <c r="D10" s="112"/>
      <c r="E10" s="112"/>
      <c r="F10" s="112"/>
      <c r="G10" s="112"/>
    </row>
    <row r="11" spans="1:8">
      <c r="A11" s="427" t="s">
        <v>352</v>
      </c>
      <c r="B11" s="525"/>
      <c r="C11" s="112">
        <v>15000</v>
      </c>
      <c r="D11" s="112"/>
      <c r="E11" s="112"/>
      <c r="F11" s="112"/>
      <c r="G11" s="112"/>
    </row>
    <row r="12" spans="1:8">
      <c r="A12" s="427" t="s">
        <v>354</v>
      </c>
      <c r="B12" s="525"/>
      <c r="C12" s="112">
        <v>1000</v>
      </c>
      <c r="D12" s="112"/>
      <c r="E12" s="112"/>
      <c r="F12" s="112"/>
      <c r="G12" s="112"/>
    </row>
    <row r="13" spans="1:8">
      <c r="A13" s="53" t="s">
        <v>351</v>
      </c>
      <c r="B13" s="221"/>
      <c r="C13" s="111"/>
      <c r="D13" s="111"/>
      <c r="E13" s="111"/>
      <c r="F13" s="111"/>
      <c r="G13" s="111"/>
    </row>
    <row r="14" spans="1:8">
      <c r="A14" s="427" t="s">
        <v>355</v>
      </c>
      <c r="B14" s="525"/>
      <c r="C14" s="112">
        <v>40000</v>
      </c>
      <c r="D14" s="112"/>
      <c r="E14" s="112"/>
      <c r="F14" s="112"/>
      <c r="G14" s="112"/>
    </row>
    <row r="15" spans="1:8">
      <c r="A15" s="427" t="s">
        <v>378</v>
      </c>
      <c r="B15" s="525"/>
      <c r="C15" s="112">
        <v>10000</v>
      </c>
      <c r="D15" s="112">
        <v>1000</v>
      </c>
      <c r="E15" s="112">
        <v>1000</v>
      </c>
      <c r="F15" s="112">
        <v>1000</v>
      </c>
      <c r="G15" s="112">
        <v>1000</v>
      </c>
      <c r="H15" s="427"/>
    </row>
    <row r="16" spans="1:8">
      <c r="A16" s="427" t="s">
        <v>356</v>
      </c>
      <c r="B16" s="525"/>
      <c r="C16" s="112">
        <v>10000</v>
      </c>
      <c r="D16" s="112"/>
      <c r="E16" s="112"/>
      <c r="F16" s="112"/>
      <c r="G16" s="112">
        <v>2000</v>
      </c>
      <c r="H16" s="427"/>
    </row>
    <row r="17" spans="1:8">
      <c r="A17" s="427" t="s">
        <v>445</v>
      </c>
      <c r="B17" s="525"/>
      <c r="C17" s="112">
        <v>20000</v>
      </c>
      <c r="D17" s="112"/>
      <c r="E17" s="112">
        <v>1000</v>
      </c>
      <c r="F17" s="112"/>
      <c r="G17" s="112">
        <v>1000</v>
      </c>
      <c r="H17" s="427"/>
    </row>
    <row r="18" spans="1:8">
      <c r="A18" s="427" t="s">
        <v>402</v>
      </c>
      <c r="B18" s="525"/>
      <c r="C18" s="112">
        <v>20000</v>
      </c>
      <c r="D18" s="112"/>
      <c r="E18" s="112">
        <v>2000</v>
      </c>
      <c r="F18" s="112"/>
      <c r="G18" s="112">
        <v>2000</v>
      </c>
      <c r="H18" s="427"/>
    </row>
    <row r="19" spans="1:8">
      <c r="A19" s="427" t="s">
        <v>401</v>
      </c>
      <c r="B19" s="525"/>
      <c r="C19" s="112">
        <v>50000</v>
      </c>
      <c r="D19" s="112">
        <v>10000</v>
      </c>
      <c r="E19" s="112">
        <v>10000</v>
      </c>
      <c r="F19" s="112">
        <v>10000</v>
      </c>
      <c r="G19" s="112">
        <v>10000</v>
      </c>
      <c r="H19" s="427"/>
    </row>
    <row r="20" spans="1:8" ht="14" thickBot="1">
      <c r="A20" s="218" t="s">
        <v>397</v>
      </c>
      <c r="B20" s="113">
        <f>SUM(B10:B19)</f>
        <v>0</v>
      </c>
      <c r="C20" s="113">
        <f>SUM(C10:C19)</f>
        <v>166000</v>
      </c>
      <c r="D20" s="113">
        <f t="shared" ref="D20:G20" si="0">SUM(D10:D19)</f>
        <v>11000</v>
      </c>
      <c r="E20" s="113">
        <f t="shared" si="0"/>
        <v>14000</v>
      </c>
      <c r="F20" s="113">
        <f t="shared" si="0"/>
        <v>11000</v>
      </c>
      <c r="G20" s="113">
        <f t="shared" si="0"/>
        <v>16000</v>
      </c>
    </row>
    <row r="21" spans="1:8">
      <c r="A21" s="65" t="s">
        <v>161</v>
      </c>
      <c r="B21" s="68"/>
      <c r="C21" s="67">
        <f>C20/C7</f>
        <v>0.20471933156037458</v>
      </c>
      <c r="D21" s="67">
        <f>D20/D7</f>
        <v>1.1798680257950578E-2</v>
      </c>
      <c r="E21" s="67">
        <f>E20/E7</f>
        <v>1.3485972806194152E-2</v>
      </c>
      <c r="F21" s="67">
        <f>F20/F7</f>
        <v>1.0334100888029536E-2</v>
      </c>
      <c r="G21" s="67">
        <f>G20/G7</f>
        <v>1.4618730173016514E-2</v>
      </c>
    </row>
    <row r="22" spans="1:8">
      <c r="A22" s="34"/>
      <c r="B22" s="111"/>
      <c r="C22" s="111"/>
      <c r="D22" s="111"/>
      <c r="E22" s="111"/>
      <c r="F22" s="111"/>
      <c r="G22" s="111"/>
    </row>
    <row r="23" spans="1:8">
      <c r="A23" s="65"/>
      <c r="B23" s="221"/>
      <c r="C23" s="68"/>
      <c r="D23" s="68"/>
      <c r="E23" s="68"/>
      <c r="F23" s="68"/>
      <c r="G23" s="68"/>
    </row>
    <row r="25" spans="1:8" ht="15">
      <c r="A25" s="36"/>
      <c r="B25" s="36"/>
      <c r="C25" s="36"/>
      <c r="D25" s="213" t="s">
        <v>165</v>
      </c>
      <c r="E25" s="214"/>
      <c r="F25" s="214"/>
      <c r="G25" s="36"/>
    </row>
    <row r="26" spans="1:8" ht="15">
      <c r="A26" s="36"/>
      <c r="B26" s="36"/>
      <c r="C26" s="36"/>
      <c r="D26" s="213" t="s">
        <v>75</v>
      </c>
      <c r="E26" s="214"/>
      <c r="F26" s="214"/>
      <c r="G26" s="36"/>
    </row>
    <row r="27" spans="1:8" ht="15">
      <c r="A27" s="36"/>
      <c r="B27" s="36"/>
      <c r="C27" s="47" t="s">
        <v>54</v>
      </c>
      <c r="D27" s="47" t="s">
        <v>55</v>
      </c>
      <c r="E27" s="47" t="s">
        <v>56</v>
      </c>
      <c r="F27" s="47" t="s">
        <v>57</v>
      </c>
      <c r="G27" s="47" t="s">
        <v>58</v>
      </c>
    </row>
    <row r="28" spans="1:8">
      <c r="A28" s="36" t="s">
        <v>128</v>
      </c>
      <c r="C28" s="254">
        <f>B20+C20/12</f>
        <v>13833.333333333334</v>
      </c>
      <c r="D28" s="254">
        <f>$D$20/12</f>
        <v>916.66666666666663</v>
      </c>
      <c r="E28" s="288"/>
      <c r="F28" s="288"/>
      <c r="G28" s="288"/>
    </row>
    <row r="29" spans="1:8">
      <c r="A29" s="36" t="s">
        <v>129</v>
      </c>
      <c r="C29" s="254">
        <f>$C$20/12</f>
        <v>13833.333333333334</v>
      </c>
      <c r="D29" s="254">
        <f t="shared" ref="D29:D30" si="1">$D$20/12</f>
        <v>916.66666666666663</v>
      </c>
      <c r="E29" s="221"/>
      <c r="F29" s="221"/>
      <c r="G29" s="221"/>
    </row>
    <row r="30" spans="1:8">
      <c r="A30" s="36" t="s">
        <v>130</v>
      </c>
      <c r="C30" s="521">
        <f>D20/12</f>
        <v>916.66666666666663</v>
      </c>
      <c r="D30" s="254">
        <f t="shared" si="1"/>
        <v>916.66666666666663</v>
      </c>
      <c r="E30" s="522"/>
      <c r="F30" s="522"/>
      <c r="G30" s="522"/>
    </row>
    <row r="31" spans="1:8">
      <c r="A31" s="211" t="s">
        <v>141</v>
      </c>
      <c r="C31" s="523">
        <f>SUM(C28:C30)</f>
        <v>28583.333333333336</v>
      </c>
      <c r="D31" s="523">
        <f>SUM(D28:D30)</f>
        <v>2750</v>
      </c>
      <c r="E31" s="523">
        <f>$E$20/4</f>
        <v>3500</v>
      </c>
      <c r="F31" s="523">
        <f>$F$20/4</f>
        <v>2750</v>
      </c>
      <c r="G31" s="523">
        <f>$G$20/4</f>
        <v>4000</v>
      </c>
    </row>
    <row r="32" spans="1:8">
      <c r="A32" s="36" t="s">
        <v>131</v>
      </c>
      <c r="C32" s="254">
        <f t="shared" ref="C32:C34" si="2">$C$20/12</f>
        <v>13833.333333333334</v>
      </c>
      <c r="D32" s="254">
        <f t="shared" ref="D32:D34" si="3">$D$20/12</f>
        <v>916.66666666666663</v>
      </c>
      <c r="E32" s="289"/>
      <c r="F32" s="289"/>
      <c r="G32" s="289"/>
    </row>
    <row r="33" spans="1:7">
      <c r="A33" s="36" t="s">
        <v>132</v>
      </c>
      <c r="C33" s="254">
        <f t="shared" si="2"/>
        <v>13833.333333333334</v>
      </c>
      <c r="D33" s="254">
        <f t="shared" si="3"/>
        <v>916.66666666666663</v>
      </c>
      <c r="E33" s="289"/>
      <c r="F33" s="289"/>
      <c r="G33" s="289"/>
    </row>
    <row r="34" spans="1:7">
      <c r="A34" s="36" t="s">
        <v>133</v>
      </c>
      <c r="C34" s="254">
        <f t="shared" si="2"/>
        <v>13833.333333333334</v>
      </c>
      <c r="D34" s="254">
        <f t="shared" si="3"/>
        <v>916.66666666666663</v>
      </c>
      <c r="E34" s="289"/>
      <c r="F34" s="289"/>
      <c r="G34" s="289"/>
    </row>
    <row r="35" spans="1:7">
      <c r="A35" s="211" t="s">
        <v>142</v>
      </c>
      <c r="C35" s="523">
        <f>SUM(C32:C34)</f>
        <v>41500</v>
      </c>
      <c r="D35" s="523">
        <f>SUM(D32:D34)</f>
        <v>2750</v>
      </c>
      <c r="E35" s="523">
        <f>$E$20/4</f>
        <v>3500</v>
      </c>
      <c r="F35" s="523">
        <f>$F$20/4</f>
        <v>2750</v>
      </c>
      <c r="G35" s="523">
        <f>$G$20/4</f>
        <v>4000</v>
      </c>
    </row>
    <row r="36" spans="1:7">
      <c r="A36" s="36" t="s">
        <v>134</v>
      </c>
      <c r="C36" s="254">
        <f t="shared" ref="C36:C38" si="4">$C$20/12</f>
        <v>13833.333333333334</v>
      </c>
      <c r="D36" s="254">
        <f t="shared" ref="D36:D38" si="5">$D$20/12</f>
        <v>916.66666666666663</v>
      </c>
      <c r="E36" s="288"/>
      <c r="F36" s="288"/>
      <c r="G36" s="288"/>
    </row>
    <row r="37" spans="1:7">
      <c r="A37" s="36" t="s">
        <v>135</v>
      </c>
      <c r="C37" s="254">
        <f t="shared" si="4"/>
        <v>13833.333333333334</v>
      </c>
      <c r="D37" s="254">
        <f t="shared" si="5"/>
        <v>916.66666666666663</v>
      </c>
      <c r="E37" s="288"/>
      <c r="F37" s="288"/>
      <c r="G37" s="288"/>
    </row>
    <row r="38" spans="1:7">
      <c r="A38" s="36" t="s">
        <v>136</v>
      </c>
      <c r="C38" s="254">
        <f t="shared" si="4"/>
        <v>13833.333333333334</v>
      </c>
      <c r="D38" s="254">
        <f t="shared" si="5"/>
        <v>916.66666666666663</v>
      </c>
      <c r="E38" s="289"/>
      <c r="F38" s="289"/>
      <c r="G38" s="289"/>
    </row>
    <row r="39" spans="1:7">
      <c r="A39" s="211" t="s">
        <v>143</v>
      </c>
      <c r="C39" s="523">
        <f>SUM(C36:C38)</f>
        <v>41500</v>
      </c>
      <c r="D39" s="523">
        <f>SUM(D36:D38)</f>
        <v>2750</v>
      </c>
      <c r="E39" s="523">
        <f>$E$20/4</f>
        <v>3500</v>
      </c>
      <c r="F39" s="523">
        <f>$F$20/4</f>
        <v>2750</v>
      </c>
      <c r="G39" s="523">
        <f>$G$20/4</f>
        <v>4000</v>
      </c>
    </row>
    <row r="40" spans="1:7">
      <c r="A40" s="36" t="s">
        <v>137</v>
      </c>
      <c r="C40" s="254">
        <f t="shared" ref="C40:C42" si="6">$C$20/12</f>
        <v>13833.333333333334</v>
      </c>
      <c r="D40" s="254">
        <f t="shared" ref="D40:D42" si="7">$D$20/12</f>
        <v>916.66666666666663</v>
      </c>
      <c r="E40" s="288"/>
      <c r="F40" s="288"/>
      <c r="G40" s="288"/>
    </row>
    <row r="41" spans="1:7">
      <c r="A41" s="36" t="s">
        <v>138</v>
      </c>
      <c r="C41" s="254">
        <f t="shared" si="6"/>
        <v>13833.333333333334</v>
      </c>
      <c r="D41" s="254">
        <f t="shared" si="7"/>
        <v>916.66666666666663</v>
      </c>
      <c r="E41" s="288"/>
      <c r="F41" s="288"/>
      <c r="G41" s="288"/>
    </row>
    <row r="42" spans="1:7">
      <c r="A42" s="36" t="s">
        <v>139</v>
      </c>
      <c r="C42" s="254">
        <f t="shared" si="6"/>
        <v>13833.333333333334</v>
      </c>
      <c r="D42" s="254">
        <f t="shared" si="7"/>
        <v>916.66666666666663</v>
      </c>
      <c r="E42" s="289"/>
      <c r="F42" s="289"/>
      <c r="G42" s="289"/>
    </row>
    <row r="43" spans="1:7">
      <c r="A43" s="211" t="s">
        <v>144</v>
      </c>
      <c r="C43" s="523">
        <f>SUM(C40:C42)</f>
        <v>41500</v>
      </c>
      <c r="D43" s="523">
        <f>SUM(D40:D42)</f>
        <v>2750</v>
      </c>
      <c r="E43" s="523">
        <f>$E$20/4</f>
        <v>3500</v>
      </c>
      <c r="F43" s="523">
        <f>$F$20/4</f>
        <v>2750</v>
      </c>
      <c r="G43" s="523">
        <f>$G$20/4</f>
        <v>4000</v>
      </c>
    </row>
    <row r="44" spans="1:7">
      <c r="A44" s="212" t="s">
        <v>145</v>
      </c>
      <c r="C44" s="226">
        <f>C31+C35+C39+C43</f>
        <v>153083.33333333334</v>
      </c>
      <c r="D44" s="226">
        <f>D31+D35+D39+D43</f>
        <v>11000</v>
      </c>
      <c r="E44" s="226">
        <f>E31+E35+E39+E43</f>
        <v>14000</v>
      </c>
      <c r="F44" s="226">
        <f>F31+F35+F39+F43</f>
        <v>11000</v>
      </c>
      <c r="G44" s="226">
        <f>G31+G35+G39+G43</f>
        <v>16000</v>
      </c>
    </row>
    <row r="48" spans="1:7" ht="15">
      <c r="A48" s="36"/>
      <c r="B48" s="36"/>
      <c r="C48" s="36"/>
      <c r="D48" s="213"/>
      <c r="E48" s="214"/>
      <c r="F48" s="214"/>
      <c r="G48" s="36"/>
    </row>
    <row r="49" spans="1:7" ht="15">
      <c r="A49" s="36"/>
      <c r="B49" s="36"/>
      <c r="C49" s="36"/>
      <c r="D49" s="213"/>
      <c r="E49" s="214"/>
      <c r="F49" s="214"/>
      <c r="G49" s="36"/>
    </row>
    <row r="50" spans="1:7" ht="15">
      <c r="A50" s="36"/>
      <c r="B50" s="36"/>
      <c r="C50" s="47"/>
      <c r="D50" s="47"/>
      <c r="E50" s="47"/>
      <c r="F50" s="47"/>
      <c r="G50" s="47"/>
    </row>
    <row r="51" spans="1:7">
      <c r="A51" s="36"/>
    </row>
    <row r="52" spans="1:7">
      <c r="A52" s="36"/>
    </row>
    <row r="53" spans="1:7">
      <c r="A53" s="36"/>
    </row>
    <row r="54" spans="1:7">
      <c r="A54" s="211"/>
    </row>
    <row r="55" spans="1:7">
      <c r="A55" s="36"/>
    </row>
    <row r="56" spans="1:7">
      <c r="A56" s="36"/>
    </row>
    <row r="57" spans="1:7">
      <c r="A57" s="36"/>
    </row>
    <row r="58" spans="1:7">
      <c r="A58" s="211"/>
    </row>
    <row r="59" spans="1:7">
      <c r="A59" s="36"/>
    </row>
    <row r="60" spans="1:7">
      <c r="A60" s="36"/>
    </row>
    <row r="61" spans="1:7">
      <c r="A61" s="36"/>
    </row>
    <row r="62" spans="1:7">
      <c r="A62" s="211"/>
    </row>
    <row r="63" spans="1:7">
      <c r="A63" s="36"/>
    </row>
    <row r="64" spans="1:7">
      <c r="A64" s="36"/>
    </row>
    <row r="65" spans="1:1">
      <c r="A65" s="36"/>
    </row>
    <row r="66" spans="1:1">
      <c r="A66" s="211"/>
    </row>
    <row r="67" spans="1:1">
      <c r="A67" s="212"/>
    </row>
    <row r="103" spans="1:7">
      <c r="A103" s="18"/>
      <c r="B103" s="20"/>
      <c r="C103" s="20"/>
      <c r="D103" s="20"/>
      <c r="E103" s="20"/>
      <c r="F103" s="20"/>
      <c r="G103" s="20"/>
    </row>
    <row r="104" spans="1:7">
      <c r="B104" s="21"/>
      <c r="C104" s="21"/>
      <c r="D104" s="21"/>
      <c r="E104" s="21"/>
      <c r="F104" s="21"/>
      <c r="G104" s="21"/>
    </row>
  </sheetData>
  <phoneticPr fontId="0" type="noConversion"/>
  <pageMargins left="0.75" right="0.75" top="0.5" bottom="0.5" header="0.5" footer="0.5"/>
  <pageSetup scale="69" fitToHeight="2" orientation="portrait" horizontalDpi="300" verticalDpi="300"/>
  <headerFooter alignWithMargins="0">
    <oddHeader>&amp;R&amp;D
&amp;T</oddHeader>
  </headerFooter>
  <rowBreaks count="1" manualBreakCount="1">
    <brk id="93" max="65535" man="1"/>
  </rowBreaks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pageSetUpPr fitToPage="1"/>
  </sheetPr>
  <dimension ref="A1:H99"/>
  <sheetViews>
    <sheetView topLeftCell="A20" zoomScale="85" zoomScaleNormal="85" zoomScalePageLayoutView="85" workbookViewId="0">
      <selection activeCell="C65" sqref="C65"/>
    </sheetView>
  </sheetViews>
  <sheetFormatPr baseColWidth="10" defaultColWidth="8.7109375" defaultRowHeight="12" x14ac:dyDescent="0"/>
  <cols>
    <col min="1" max="1" width="36.28515625" style="33" customWidth="1"/>
    <col min="2" max="2" width="3.5703125" style="33" customWidth="1"/>
    <col min="3" max="3" width="12.42578125" style="33" customWidth="1"/>
    <col min="4" max="4" width="13.28515625" style="33" customWidth="1"/>
    <col min="5" max="5" width="14.5703125" style="33" customWidth="1"/>
    <col min="6" max="6" width="15" style="33" customWidth="1"/>
    <col min="7" max="7" width="13.140625" style="33" customWidth="1"/>
    <col min="8" max="8" width="9" style="33" customWidth="1"/>
    <col min="9" max="9" width="11.5703125" style="33" customWidth="1"/>
    <col min="10" max="11" width="10.7109375" style="33" customWidth="1"/>
    <col min="12" max="12" width="12.7109375" style="33" customWidth="1"/>
    <col min="13" max="13" width="9.85546875" style="33" customWidth="1"/>
    <col min="14" max="14" width="11" style="33" customWidth="1"/>
    <col min="15" max="15" width="10.140625" style="33" customWidth="1"/>
    <col min="16" max="16384" width="8.7109375" style="33"/>
  </cols>
  <sheetData>
    <row r="1" spans="1:7" ht="18">
      <c r="A1" s="150" t="str">
        <f>PERSONNEL!A1</f>
        <v>AQUAPONICS FARMING</v>
      </c>
      <c r="B1" s="200"/>
      <c r="C1" s="200"/>
      <c r="D1" s="200"/>
      <c r="E1" s="200"/>
      <c r="F1" s="200"/>
      <c r="G1" s="200"/>
    </row>
    <row r="2" spans="1:7" s="181" customFormat="1" ht="15">
      <c r="A2" s="149" t="s">
        <v>51</v>
      </c>
    </row>
    <row r="3" spans="1:7" s="181" customFormat="1" ht="15">
      <c r="A3" s="149" t="s">
        <v>53</v>
      </c>
    </row>
    <row r="4" spans="1:7" s="181" customFormat="1" ht="15">
      <c r="A4" s="149" t="s">
        <v>75</v>
      </c>
    </row>
    <row r="5" spans="1:7" ht="15">
      <c r="C5" s="127" t="s">
        <v>54</v>
      </c>
      <c r="D5" s="127" t="s">
        <v>55</v>
      </c>
      <c r="E5" s="127" t="s">
        <v>56</v>
      </c>
      <c r="F5" s="127" t="s">
        <v>57</v>
      </c>
      <c r="G5" s="127" t="s">
        <v>58</v>
      </c>
    </row>
    <row r="6" spans="1:7" ht="15">
      <c r="A6" s="44" t="s">
        <v>47</v>
      </c>
      <c r="C6" s="371">
        <f>REVENUE!C19</f>
        <v>810866.26619354845</v>
      </c>
      <c r="D6" s="371">
        <f>REVENUE!D19</f>
        <v>932307.66149354842</v>
      </c>
      <c r="E6" s="371">
        <f>REVENUE!E19</f>
        <v>1038115.6925935483</v>
      </c>
      <c r="F6" s="371">
        <f>REVENUE!F19</f>
        <v>1064437.0631935485</v>
      </c>
      <c r="G6" s="371">
        <f>REVENUE!G19</f>
        <v>1094486.3069935483</v>
      </c>
    </row>
    <row r="7" spans="1:7" ht="15">
      <c r="A7" s="44"/>
      <c r="C7" s="49"/>
      <c r="D7" s="49"/>
      <c r="E7" s="49"/>
      <c r="F7" s="49"/>
      <c r="G7" s="49"/>
    </row>
    <row r="8" spans="1:7" ht="15">
      <c r="A8" s="44"/>
      <c r="C8" s="49"/>
      <c r="D8" s="49"/>
      <c r="E8" s="49"/>
      <c r="F8" s="49"/>
      <c r="G8" s="49"/>
    </row>
    <row r="9" spans="1:7">
      <c r="A9" s="50" t="s">
        <v>97</v>
      </c>
      <c r="C9" s="182"/>
      <c r="D9" s="182"/>
      <c r="E9" s="182"/>
      <c r="F9" s="182"/>
      <c r="G9" s="182"/>
    </row>
    <row r="10" spans="1:7">
      <c r="A10" s="261" t="s">
        <v>108</v>
      </c>
      <c r="C10" s="391">
        <v>8.3000000000000004E-2</v>
      </c>
      <c r="D10" s="391">
        <v>8.3000000000000004E-2</v>
      </c>
      <c r="E10" s="391">
        <v>8.3000000000000004E-2</v>
      </c>
      <c r="F10" s="391">
        <v>8.3000000000000004E-2</v>
      </c>
      <c r="G10" s="391">
        <v>8.3000000000000004E-2</v>
      </c>
    </row>
    <row r="11" spans="1:7">
      <c r="A11" s="261" t="s">
        <v>196</v>
      </c>
      <c r="C11" s="390">
        <f>C10*360</f>
        <v>29.880000000000003</v>
      </c>
      <c r="D11" s="390">
        <f>D10*360</f>
        <v>29.880000000000003</v>
      </c>
      <c r="E11" s="390">
        <f>E10*360</f>
        <v>29.880000000000003</v>
      </c>
      <c r="F11" s="390">
        <f>F10*360</f>
        <v>29.880000000000003</v>
      </c>
      <c r="G11" s="390">
        <f>G10*360</f>
        <v>29.880000000000003</v>
      </c>
    </row>
    <row r="12" spans="1:7">
      <c r="A12" s="261" t="s">
        <v>197</v>
      </c>
      <c r="C12" s="184">
        <f>C65</f>
        <v>121143.42016931614</v>
      </c>
      <c r="D12" s="184">
        <f>D65</f>
        <v>92857.843084757449</v>
      </c>
      <c r="E12" s="184">
        <f>E65</f>
        <v>103396.32298231743</v>
      </c>
      <c r="F12" s="184">
        <f>F65</f>
        <v>98950.069394472259</v>
      </c>
      <c r="G12" s="184">
        <f>G65</f>
        <v>112644.53071577601</v>
      </c>
    </row>
    <row r="13" spans="1:7">
      <c r="A13" s="261" t="s">
        <v>200</v>
      </c>
      <c r="C13" s="184">
        <f>-C12</f>
        <v>-121143.42016931614</v>
      </c>
      <c r="D13" s="184">
        <f>-(D12-C12)</f>
        <v>28285.577084558696</v>
      </c>
      <c r="E13" s="184">
        <f>-(E12-D12)</f>
        <v>-10538.479897559984</v>
      </c>
      <c r="F13" s="184">
        <f>-(F12-E12)</f>
        <v>4446.2535878451745</v>
      </c>
      <c r="G13" s="184">
        <f>-(G12-F12)</f>
        <v>-13694.461321303752</v>
      </c>
    </row>
    <row r="14" spans="1:7">
      <c r="C14" s="182"/>
      <c r="D14" s="182"/>
      <c r="E14" s="182"/>
      <c r="F14" s="182"/>
      <c r="G14" s="182"/>
    </row>
    <row r="15" spans="1:7">
      <c r="A15" s="51" t="s">
        <v>98</v>
      </c>
      <c r="C15" s="182"/>
      <c r="D15" s="182"/>
      <c r="E15" s="182"/>
      <c r="F15" s="182"/>
      <c r="G15" s="182"/>
    </row>
    <row r="16" spans="1:7">
      <c r="A16" s="261" t="s">
        <v>108</v>
      </c>
      <c r="C16" s="183">
        <v>0.01</v>
      </c>
      <c r="D16" s="183">
        <v>0.01</v>
      </c>
      <c r="E16" s="183">
        <v>0.01</v>
      </c>
      <c r="F16" s="183">
        <v>0.01</v>
      </c>
      <c r="G16" s="183">
        <v>0.01</v>
      </c>
    </row>
    <row r="17" spans="1:7">
      <c r="A17" s="261" t="s">
        <v>323</v>
      </c>
      <c r="B17" s="38"/>
      <c r="C17" s="593">
        <f>IF(C18&lt;=0,0,ROUND(360/C18,0))</f>
        <v>100</v>
      </c>
      <c r="D17" s="593">
        <f>IF(D18&lt;=0,0,ROUND(360/D18,0))</f>
        <v>100</v>
      </c>
      <c r="E17" s="593">
        <f>IF(E18&lt;=0,0,ROUND(360/E18,0))</f>
        <v>100</v>
      </c>
      <c r="F17" s="593">
        <f>IF(F18&lt;=0,0,ROUND(360/F18,0))</f>
        <v>100</v>
      </c>
      <c r="G17" s="593">
        <f>IF(G18&lt;=0,0,ROUND(360/G18,0))</f>
        <v>100</v>
      </c>
    </row>
    <row r="18" spans="1:7">
      <c r="A18" s="261" t="s">
        <v>198</v>
      </c>
      <c r="C18" s="593">
        <f>C16*360</f>
        <v>3.6</v>
      </c>
      <c r="D18" s="593">
        <f>D16*360</f>
        <v>3.6</v>
      </c>
      <c r="E18" s="593">
        <f>E16*360</f>
        <v>3.6</v>
      </c>
      <c r="F18" s="593">
        <f>F16*360</f>
        <v>3.6</v>
      </c>
      <c r="G18" s="593">
        <f>G16*360</f>
        <v>3.6</v>
      </c>
    </row>
    <row r="19" spans="1:7">
      <c r="A19" s="261" t="s">
        <v>199</v>
      </c>
      <c r="C19" s="594">
        <f>C82</f>
        <v>14595.592791483872</v>
      </c>
      <c r="D19" s="594">
        <f>D82</f>
        <v>11187.691937922584</v>
      </c>
      <c r="E19" s="594">
        <f>E82</f>
        <v>12457.388311122582</v>
      </c>
      <c r="F19" s="594">
        <f>F82</f>
        <v>11921.695107767744</v>
      </c>
      <c r="G19" s="594">
        <f>G82</f>
        <v>13571.630206720001</v>
      </c>
    </row>
    <row r="20" spans="1:7">
      <c r="A20" s="261" t="s">
        <v>200</v>
      </c>
      <c r="C20" s="594">
        <f>-C19</f>
        <v>-14595.592791483872</v>
      </c>
      <c r="D20" s="594">
        <f>-(D19-C19)</f>
        <v>3407.9008535612884</v>
      </c>
      <c r="E20" s="594">
        <f>-(E19-D19)</f>
        <v>-1269.6963731999986</v>
      </c>
      <c r="F20" s="594">
        <f>-(F19-E19)</f>
        <v>535.69320335483826</v>
      </c>
      <c r="G20" s="594">
        <f>-(G19-F19)</f>
        <v>-1649.9350989522572</v>
      </c>
    </row>
    <row r="21" spans="1:7">
      <c r="C21" s="182"/>
      <c r="D21" s="182"/>
      <c r="E21" s="182"/>
      <c r="F21" s="182"/>
      <c r="G21" s="182"/>
    </row>
    <row r="22" spans="1:7">
      <c r="A22" s="51" t="s">
        <v>99</v>
      </c>
      <c r="C22" s="182"/>
      <c r="D22" s="182"/>
      <c r="E22" s="182"/>
      <c r="F22" s="182"/>
      <c r="G22" s="182"/>
    </row>
    <row r="23" spans="1:7">
      <c r="A23" s="261" t="s">
        <v>108</v>
      </c>
      <c r="C23" s="183">
        <v>4.1500000000000002E-2</v>
      </c>
      <c r="D23" s="183">
        <v>4.2000000000000003E-2</v>
      </c>
      <c r="E23" s="183">
        <v>4.2000000000000003E-2</v>
      </c>
      <c r="F23" s="183">
        <v>4.2000000000000003E-2</v>
      </c>
      <c r="G23" s="183">
        <v>4.2000000000000003E-2</v>
      </c>
    </row>
    <row r="24" spans="1:7">
      <c r="A24" s="261" t="s">
        <v>194</v>
      </c>
      <c r="C24" s="220">
        <f>C23*360</f>
        <v>14.940000000000001</v>
      </c>
      <c r="D24" s="220">
        <f>D23*360</f>
        <v>15.120000000000001</v>
      </c>
      <c r="E24" s="220">
        <f>E23*360</f>
        <v>15.120000000000001</v>
      </c>
      <c r="F24" s="220">
        <f>F23*360</f>
        <v>15.120000000000001</v>
      </c>
      <c r="G24" s="220">
        <f>G23*360</f>
        <v>15.120000000000001</v>
      </c>
    </row>
    <row r="25" spans="1:7">
      <c r="A25" s="261" t="s">
        <v>195</v>
      </c>
      <c r="C25" s="184">
        <f>C99</f>
        <v>60571.710084658072</v>
      </c>
      <c r="D25" s="184">
        <f>D99</f>
        <v>46988.306139274842</v>
      </c>
      <c r="E25" s="184">
        <f>E99</f>
        <v>52321.030906714841</v>
      </c>
      <c r="F25" s="184">
        <f>F99</f>
        <v>50071.119452624516</v>
      </c>
      <c r="G25" s="184">
        <f>G99</f>
        <v>57000.846868224005</v>
      </c>
    </row>
    <row r="26" spans="1:7">
      <c r="A26" s="261" t="s">
        <v>201</v>
      </c>
      <c r="C26" s="184">
        <f>C25</f>
        <v>60571.710084658072</v>
      </c>
      <c r="D26" s="184">
        <f>(D25-C25)</f>
        <v>-13583.40394538323</v>
      </c>
      <c r="E26" s="184">
        <f>(E25-D25)</f>
        <v>5332.7247674399987</v>
      </c>
      <c r="F26" s="184">
        <f>(F25-E25)</f>
        <v>-2249.9114540903247</v>
      </c>
      <c r="G26" s="184">
        <f>(G25-F25)</f>
        <v>6929.7274155994892</v>
      </c>
    </row>
    <row r="27" spans="1:7">
      <c r="C27" s="182"/>
      <c r="D27" s="182"/>
      <c r="E27" s="182"/>
      <c r="F27" s="182"/>
      <c r="G27" s="182"/>
    </row>
    <row r="28" spans="1:7">
      <c r="B28" s="182"/>
    </row>
    <row r="29" spans="1:7" ht="15">
      <c r="A29" s="225" t="s">
        <v>146</v>
      </c>
      <c r="C29" s="214"/>
      <c r="E29" s="214"/>
      <c r="F29" s="214"/>
      <c r="G29" s="36"/>
    </row>
    <row r="30" spans="1:7" ht="15">
      <c r="A30" s="36"/>
      <c r="B30" s="36"/>
      <c r="C30" s="36"/>
      <c r="D30" s="213" t="s">
        <v>75</v>
      </c>
      <c r="E30" s="214"/>
      <c r="F30" s="214"/>
      <c r="G30" s="36"/>
    </row>
    <row r="31" spans="1:7" ht="15">
      <c r="A31" s="36"/>
      <c r="B31" s="36"/>
      <c r="C31" s="47" t="s">
        <v>54</v>
      </c>
      <c r="D31" s="47" t="s">
        <v>55</v>
      </c>
      <c r="E31" s="47" t="s">
        <v>56</v>
      </c>
      <c r="F31" s="47" t="s">
        <v>57</v>
      </c>
      <c r="G31" s="47" t="s">
        <v>58</v>
      </c>
    </row>
    <row r="32" spans="1:7">
      <c r="A32" s="36" t="s">
        <v>128</v>
      </c>
      <c r="B32" s="36"/>
      <c r="C32" s="119">
        <f>REVENUE!C24</f>
        <v>0</v>
      </c>
      <c r="D32" s="119">
        <f>REVENUE!D24</f>
        <v>74584.612919483872</v>
      </c>
      <c r="E32" s="119">
        <f>REVENUE!E24</f>
        <v>83049.25540748387</v>
      </c>
      <c r="F32" s="119">
        <f>REVENUE!F24</f>
        <v>95799.335687419356</v>
      </c>
      <c r="G32" s="119">
        <f>REVENUE!G24</f>
        <v>98503.767629419337</v>
      </c>
    </row>
    <row r="33" spans="1:7">
      <c r="A33" s="36" t="s">
        <v>129</v>
      </c>
      <c r="C33" s="119">
        <f>REVENUE!C25</f>
        <v>0</v>
      </c>
      <c r="D33" s="119">
        <f>REVENUE!D25</f>
        <v>74584.612919483872</v>
      </c>
      <c r="E33" s="119">
        <f>REVENUE!E25</f>
        <v>83049.25540748387</v>
      </c>
      <c r="F33" s="119">
        <f>REVENUE!F25</f>
        <v>106443.70631935485</v>
      </c>
      <c r="G33" s="119">
        <f>REVENUE!G25</f>
        <v>87558.904559483868</v>
      </c>
    </row>
    <row r="34" spans="1:7" ht="15.75" customHeight="1">
      <c r="A34" s="36" t="s">
        <v>130</v>
      </c>
      <c r="C34" s="222">
        <f>REVENUE!C26</f>
        <v>0</v>
      </c>
      <c r="D34" s="222">
        <f>REVENUE!D26</f>
        <v>74584.612919483872</v>
      </c>
      <c r="E34" s="222">
        <f>REVENUE!E26</f>
        <v>83049.25540748387</v>
      </c>
      <c r="F34" s="222">
        <f>REVENUE!F26</f>
        <v>74510.594423548406</v>
      </c>
      <c r="G34" s="222">
        <f>REVENUE!G26</f>
        <v>76614.041489548385</v>
      </c>
    </row>
    <row r="35" spans="1:7">
      <c r="A35" s="211" t="s">
        <v>141</v>
      </c>
      <c r="C35" s="262">
        <f>REVENUE!C27</f>
        <v>0</v>
      </c>
      <c r="D35" s="262">
        <f>REVENUE!D27</f>
        <v>223753.83875845163</v>
      </c>
      <c r="E35" s="262">
        <f>REVENUE!E27</f>
        <v>249147.76622245161</v>
      </c>
      <c r="F35" s="262">
        <f>REVENUE!F27</f>
        <v>276753.63643032266</v>
      </c>
      <c r="G35" s="262">
        <f>REVENUE!G27</f>
        <v>262676.7136784516</v>
      </c>
    </row>
    <row r="36" spans="1:7">
      <c r="A36" s="36" t="s">
        <v>131</v>
      </c>
      <c r="C36" s="119">
        <f>REVENUE!C28</f>
        <v>40543.313309677425</v>
      </c>
      <c r="D36" s="119">
        <f>REVENUE!D28</f>
        <v>74584.612919483872</v>
      </c>
      <c r="E36" s="119">
        <f>REVENUE!E28</f>
        <v>83049.25540748387</v>
      </c>
      <c r="F36" s="119">
        <f>REVENUE!F28</f>
        <v>63866.223791612909</v>
      </c>
      <c r="G36" s="119">
        <f>REVENUE!G28</f>
        <v>65669.178419612901</v>
      </c>
    </row>
    <row r="37" spans="1:7">
      <c r="A37" s="36" t="s">
        <v>132</v>
      </c>
      <c r="C37" s="119">
        <f>REVENUE!C29</f>
        <v>64869.301295483878</v>
      </c>
      <c r="D37" s="119">
        <f>REVENUE!D29</f>
        <v>65261.536304548397</v>
      </c>
      <c r="E37" s="119">
        <f>REVENUE!E29</f>
        <v>83049.25540748387</v>
      </c>
      <c r="F37" s="119">
        <f>REVENUE!F29</f>
        <v>74510.594423548406</v>
      </c>
      <c r="G37" s="119">
        <f>REVENUE!G29</f>
        <v>76614.041489548385</v>
      </c>
    </row>
    <row r="38" spans="1:7">
      <c r="A38" s="36" t="s">
        <v>133</v>
      </c>
      <c r="C38" s="222">
        <f>REVENUE!C30</f>
        <v>81086.626619354851</v>
      </c>
      <c r="D38" s="222">
        <f>REVENUE!D30</f>
        <v>65261.536304548397</v>
      </c>
      <c r="E38" s="222">
        <f>REVENUE!E30</f>
        <v>72668.098481548397</v>
      </c>
      <c r="F38" s="222">
        <f>REVENUE!F30</f>
        <v>74510.594423548406</v>
      </c>
      <c r="G38" s="222">
        <f>REVENUE!G30</f>
        <v>76614.041489548385</v>
      </c>
    </row>
    <row r="39" spans="1:7">
      <c r="A39" s="211" t="s">
        <v>142</v>
      </c>
      <c r="C39" s="262">
        <f>REVENUE!C31</f>
        <v>186499.24122451615</v>
      </c>
      <c r="D39" s="262">
        <f>REVENUE!D31</f>
        <v>205107.68552858068</v>
      </c>
      <c r="E39" s="262">
        <f>REVENUE!E31</f>
        <v>238766.60929651614</v>
      </c>
      <c r="F39" s="262">
        <f>REVENUE!F31</f>
        <v>212887.41263870973</v>
      </c>
      <c r="G39" s="262">
        <f>REVENUE!G31</f>
        <v>218897.26139870967</v>
      </c>
    </row>
    <row r="40" spans="1:7">
      <c r="A40" s="36" t="s">
        <v>134</v>
      </c>
      <c r="C40" s="119">
        <f>REVENUE!C32</f>
        <v>81086.626619354851</v>
      </c>
      <c r="D40" s="119">
        <f>REVENUE!D32</f>
        <v>74584.612919483872</v>
      </c>
      <c r="E40" s="119">
        <f>REVENUE!E32</f>
        <v>83049.25540748387</v>
      </c>
      <c r="F40" s="119">
        <f>REVENUE!F32</f>
        <v>85154.965055483874</v>
      </c>
      <c r="G40" s="119">
        <f>REVENUE!G32</f>
        <v>87558.904559483868</v>
      </c>
    </row>
    <row r="41" spans="1:7">
      <c r="A41" s="36" t="s">
        <v>135</v>
      </c>
      <c r="C41" s="119">
        <f>REVENUE!C33</f>
        <v>97303.951943225809</v>
      </c>
      <c r="D41" s="119">
        <f>REVENUE!D33</f>
        <v>74584.612919483872</v>
      </c>
      <c r="E41" s="119">
        <f>REVENUE!E33</f>
        <v>72668.098481548397</v>
      </c>
      <c r="F41" s="119">
        <f>REVENUE!F33</f>
        <v>106443.70631935485</v>
      </c>
      <c r="G41" s="119">
        <f>REVENUE!G33</f>
        <v>87558.904559483868</v>
      </c>
    </row>
    <row r="42" spans="1:7">
      <c r="A42" s="36" t="s">
        <v>136</v>
      </c>
      <c r="C42" s="222">
        <f>REVENUE!C34</f>
        <v>121629.93992903226</v>
      </c>
      <c r="D42" s="222">
        <f>REVENUE!D34</f>
        <v>74584.612919483872</v>
      </c>
      <c r="E42" s="222">
        <f>REVENUE!E34</f>
        <v>83049.25540748387</v>
      </c>
      <c r="F42" s="222">
        <f>REVENUE!F34</f>
        <v>85154.965055483874</v>
      </c>
      <c r="G42" s="222">
        <f>REVENUE!G34</f>
        <v>98503.767629419337</v>
      </c>
    </row>
    <row r="43" spans="1:7">
      <c r="A43" s="211" t="s">
        <v>143</v>
      </c>
      <c r="C43" s="262">
        <f>REVENUE!C35</f>
        <v>300020.51849161292</v>
      </c>
      <c r="D43" s="262">
        <f>REVENUE!D35</f>
        <v>223753.83875845163</v>
      </c>
      <c r="E43" s="262">
        <f>REVENUE!E35</f>
        <v>238766.60929651614</v>
      </c>
      <c r="F43" s="262">
        <f>REVENUE!F35</f>
        <v>276753.6364303226</v>
      </c>
      <c r="G43" s="262">
        <f>REVENUE!G35</f>
        <v>273621.57674838707</v>
      </c>
    </row>
    <row r="44" spans="1:7">
      <c r="A44" s="36" t="s">
        <v>137</v>
      </c>
      <c r="C44" s="119">
        <f>REVENUE!C36</f>
        <v>97303.951943225809</v>
      </c>
      <c r="D44" s="119">
        <f>REVENUE!D36</f>
        <v>102553.84276429033</v>
      </c>
      <c r="E44" s="119">
        <f>REVENUE!E36</f>
        <v>114192.72618529032</v>
      </c>
      <c r="F44" s="119">
        <f>REVENUE!F36</f>
        <v>106443.70631935485</v>
      </c>
      <c r="G44" s="119">
        <f>REVENUE!G36</f>
        <v>120393.49376929032</v>
      </c>
    </row>
    <row r="45" spans="1:7">
      <c r="A45" s="36" t="s">
        <v>138</v>
      </c>
      <c r="C45" s="119">
        <f>REVENUE!C37</f>
        <v>105412.6146051613</v>
      </c>
      <c r="D45" s="119">
        <f>REVENUE!D37</f>
        <v>83907.689534419362</v>
      </c>
      <c r="E45" s="119">
        <f>REVENUE!E37</f>
        <v>93430.412333419343</v>
      </c>
      <c r="F45" s="119">
        <f>REVENUE!F37</f>
        <v>95799.335687419356</v>
      </c>
      <c r="G45" s="119">
        <f>REVENUE!G37</f>
        <v>109448.63069935484</v>
      </c>
    </row>
    <row r="46" spans="1:7">
      <c r="A46" s="36" t="s">
        <v>139</v>
      </c>
      <c r="C46" s="222">
        <f>REVENUE!C38</f>
        <v>121629.93992903226</v>
      </c>
      <c r="D46" s="222">
        <f>REVENUE!D38</f>
        <v>93230.766149354851</v>
      </c>
      <c r="E46" s="222">
        <f>REVENUE!E38</f>
        <v>103811.56925935484</v>
      </c>
      <c r="F46" s="222">
        <f>REVENUE!F38</f>
        <v>95799.335687419356</v>
      </c>
      <c r="G46" s="222">
        <f>REVENUE!G38</f>
        <v>109448.63069935484</v>
      </c>
    </row>
    <row r="47" spans="1:7">
      <c r="A47" s="211" t="s">
        <v>144</v>
      </c>
      <c r="C47" s="119">
        <f>REVENUE!C39</f>
        <v>324346.5064774194</v>
      </c>
      <c r="D47" s="119">
        <f>REVENUE!D39</f>
        <v>279692.29844806454</v>
      </c>
      <c r="E47" s="119">
        <f>REVENUE!E39</f>
        <v>311434.70777806453</v>
      </c>
      <c r="F47" s="119">
        <f>REVENUE!F39</f>
        <v>298042.37769419356</v>
      </c>
      <c r="G47" s="119">
        <f>REVENUE!G39</f>
        <v>339290.755168</v>
      </c>
    </row>
    <row r="48" spans="1:7" ht="13" thickBot="1">
      <c r="A48" s="212" t="s">
        <v>145</v>
      </c>
      <c r="C48" s="500">
        <f>REVENUE!C40</f>
        <v>810866.26619354845</v>
      </c>
      <c r="D48" s="500">
        <f>REVENUE!D40</f>
        <v>932307.66149354842</v>
      </c>
      <c r="E48" s="500">
        <f>REVENUE!E40</f>
        <v>1038115.6925935484</v>
      </c>
      <c r="F48" s="500">
        <f>REVENUE!F40</f>
        <v>1064437.0631935485</v>
      </c>
      <c r="G48" s="500">
        <f>REVENUE!G40</f>
        <v>1094486.3069935483</v>
      </c>
    </row>
    <row r="50" spans="1:8">
      <c r="H50" s="231"/>
    </row>
    <row r="51" spans="1:8" ht="15">
      <c r="A51" s="225" t="s">
        <v>193</v>
      </c>
    </row>
    <row r="52" spans="1:8" ht="15">
      <c r="A52" s="36"/>
      <c r="C52" s="36"/>
      <c r="D52" s="213" t="s">
        <v>75</v>
      </c>
      <c r="E52" s="214"/>
      <c r="F52" s="214"/>
      <c r="G52" s="36"/>
      <c r="H52" s="230"/>
    </row>
    <row r="53" spans="1:8" ht="15">
      <c r="A53" s="36"/>
      <c r="B53" s="36"/>
      <c r="C53" s="47" t="s">
        <v>54</v>
      </c>
      <c r="D53" s="47" t="s">
        <v>55</v>
      </c>
      <c r="E53" s="47" t="s">
        <v>56</v>
      </c>
      <c r="F53" s="47" t="s">
        <v>57</v>
      </c>
      <c r="G53" s="47" t="s">
        <v>58</v>
      </c>
      <c r="H53" s="230" t="s">
        <v>322</v>
      </c>
    </row>
    <row r="54" spans="1:8" ht="13">
      <c r="A54" s="36" t="s">
        <v>128</v>
      </c>
      <c r="B54" s="36"/>
      <c r="C54" s="259">
        <f>IF(C$11&lt;=30,C$11/30*C32,0)+IF(AND(30&lt;C$11,C$11&lt;=60),C32,0)+IF(AND(60&lt;C$11,C$11&lt;=90),C32,0)+IF(AND(90&lt;C$11,C$11&lt;=120),C32,0)</f>
        <v>0</v>
      </c>
      <c r="D54" s="259">
        <f>IF(D$11&lt;=30,D$11/30*D32,0)+IF(AND(30&lt;D$11,D$11&lt;=60),D32+(D$11-30)/30*C46,0)+IF(AND(60&lt;D$11,D$11&lt;=90),D32+C46+(D$11-60)/30*C45,0)+IF(AND(90&lt;D$11,D$11&lt;=120),D32+C46+C45+(D$11-90)/30*C44,0)</f>
        <v>74286.274467805939</v>
      </c>
      <c r="E54" s="258"/>
      <c r="F54" s="258"/>
      <c r="G54" s="258"/>
      <c r="H54" s="230"/>
    </row>
    <row r="55" spans="1:8" ht="13">
      <c r="A55" s="36" t="s">
        <v>129</v>
      </c>
      <c r="C55" s="259">
        <f>IF(C$11&lt;=30,C$11/30*C33,0)+IF(AND(30&lt;C$11,C$11&lt;=60),C33+(C$11-30)/30*C32,0)+IF(AND(60&lt;C$11,C$11&lt;=90),C33+C32,0)+IF(AND(90&lt;C$11,C$11&lt;=120),C33+C32,0)</f>
        <v>0</v>
      </c>
      <c r="D55" s="259">
        <f>IF(D$11&lt;=30,D$11/30*D33,0)+IF(AND(30&lt;D$11,D$11&lt;=60),D33+(D$11-30)/30*D32,0)+IF(AND(60&lt;D$11,D$11&lt;=90),D33+D32+(D$11-60)/30*C46,0)+IF(AND(90&lt;D$11,D$11&lt;=120),D33+D32+C46+(D$11-90)/30*C45,0)</f>
        <v>74286.274467805939</v>
      </c>
      <c r="E55" s="258"/>
      <c r="F55" s="258"/>
      <c r="G55" s="258"/>
      <c r="H55" s="230"/>
    </row>
    <row r="56" spans="1:8" ht="13">
      <c r="A56" s="36" t="s">
        <v>130</v>
      </c>
      <c r="C56" s="260">
        <f>IF(C$11&lt;=30,C11/30*C34,0)+IF(AND(30&lt;C$11,C$11&lt;=60),C34+(C$11-30)/30*C33,0)+IF(AND(60&lt;C$11,C$11&lt;=90),C34+C33+(C$11-60)/30*C32,0)+IF(AND(90&lt;C$11,C$11&lt;=120),C34+C33+C32,0)</f>
        <v>0</v>
      </c>
      <c r="D56" s="260">
        <f>IF(D$11&lt;=30,D$11/30*D34,0)+IF(AND(30&lt;D$11,D$11&lt;=60),D34+(D$11-30)/30*D33,0)+IF(AND(60&lt;D$11,D$11&lt;=90),D34+D33+(D$11-60)/30*D32,0)+IF(AND(90&lt;D$11,D$11&lt;=120),D34+D33+D32+(D$11-90)/30*C46,0)</f>
        <v>74286.274467805939</v>
      </c>
      <c r="E56" s="260">
        <f>IF((E$11&lt;=90),E35*(E$11)/90,0)+IF(AND(90&lt;E$11,E$11&lt;=120),E35+(E$11-90)/90*D47,0)</f>
        <v>82717.058385853947</v>
      </c>
      <c r="F56" s="260">
        <f>IF((F$11&lt;=90),F35*(F$11)/90,0)+IF(AND(90&lt;F$11,F$11&lt;=120),F35+(F$11-90)/90*E47,0)</f>
        <v>91882.207294867127</v>
      </c>
      <c r="G56" s="260">
        <f>IF((G$11&lt;=90),G35*(G$11)/90,0)+IF(AND(90&lt;G$11,G$11&lt;=120),G35+(G$11-90)/90*F47,0)</f>
        <v>87208.668941245938</v>
      </c>
      <c r="H56" s="230"/>
    </row>
    <row r="57" spans="1:8" ht="13">
      <c r="A57" s="36" t="s">
        <v>131</v>
      </c>
      <c r="C57" s="259">
        <f>IF(C$11&lt;=30,C$11/30*C36,0)+IF(AND(30&lt;C$11,C$11&lt;=60),C36+(C$11-30)/30*C34,0)+IF(AND(60&lt;C$11,C$11&lt;=90),C36+C34+(C$11-60)/30*C33,0)+IF(AND(90&lt;C$11,C$11&lt;=120),C36+C34+C33+(C$11-90)/30*C32,0)</f>
        <v>40381.140056438722</v>
      </c>
      <c r="D57" s="259">
        <f>IF(D$11&lt;=30,D$11/30*D36,0)+IF(AND(30&lt;D$11,D$11&lt;=60),D36+(D$11-30)/30*D34,0)+IF(AND(60&lt;D$11,D$11&lt;=90),D36+D34+(D$11-60)/30*D33,0)+IF(AND(90&lt;D$11,D$11&lt;=120),D36+D34+D33+(D$11-90)/30*D32,0)</f>
        <v>74286.274467805939</v>
      </c>
      <c r="E57" s="258"/>
      <c r="F57" s="258"/>
      <c r="G57" s="258"/>
      <c r="H57" s="230"/>
    </row>
    <row r="58" spans="1:8" ht="13">
      <c r="A58" s="36" t="s">
        <v>132</v>
      </c>
      <c r="C58" s="259">
        <f>IF(C$11&lt;=30,C$11/30*C37,0)+IF(AND(30&lt;C$11,C$11&lt;=60),C37+(C$11-30)/30*C36,0)+IF(AND(60&lt;C$11,C$11&lt;=90),C37+C36+(C$11-60)/30*C34,0)+IF(AND(90&lt;C$11,C$11&lt;=120),C37+C36+C34+(C$11-90)/30*C33,0)</f>
        <v>64609.824090301947</v>
      </c>
      <c r="D58" s="259">
        <f>IF(D$11&lt;=30,D$11/30*D37,0)+IF(AND(30&lt;D$11,D$11&lt;=60),D37+(D$11-30)/30*D36,0)+IF(AND(60&lt;D$11,D$11&lt;=90),D37+D36+(D$11-60)/30*D34,0)+IF(AND(90&lt;D$11,D$11&lt;=120),D37+D36+D34+(D$11-90)/30*D33,0)</f>
        <v>65000.490159330213</v>
      </c>
      <c r="E58" s="258"/>
      <c r="F58" s="258"/>
      <c r="G58" s="258"/>
      <c r="H58" s="230"/>
    </row>
    <row r="59" spans="1:8" ht="13">
      <c r="A59" s="36" t="s">
        <v>133</v>
      </c>
      <c r="C59" s="260">
        <f>IF(C$11&lt;=30,C$11/30*C38,0)+IF(AND(30&lt;C$11,C$11&lt;=60),C38+(C$11-30)/30*C37,0)+IF(AND(60&lt;C$11,C$11&lt;=90),C38+C37+(C$11-60)/30*C36,0)+IF(AND(90&lt;C$11,C$11&lt;=120),C38+C37+C36+(C$11-90)/30*C34,0)</f>
        <v>80762.280112877444</v>
      </c>
      <c r="D59" s="260">
        <f>IF(D$11&lt;=30,D$11/30*D38,0)+IF(AND(30&lt;D$11,D$11&lt;=60),D38+(D$11-30)/30*D37,0)+IF(AND(60&lt;D$11,D$11&lt;=90),D38+D37+(D$11-60)/30*D36,0)+IF(AND(90&lt;D$11,D$11&lt;=120),D38+D37+D36+(D$11-90)/30*D34,0)</f>
        <v>65000.490159330213</v>
      </c>
      <c r="E59" s="260">
        <f>IF((E$11&lt;=90),E39*(E$11)/90,0)+IF(AND(90&lt;E$11,E$11&lt;=120),E39+(E$11-90)/90*E35,0)</f>
        <v>79270.514286443358</v>
      </c>
      <c r="F59" s="260">
        <f>IF((F$11&lt;=90),F39*(F$11)/90,0)+IF(AND(90&lt;F$11,F$11&lt;=120),F39+(F$11-90)/90*F35,0)</f>
        <v>70678.620996051628</v>
      </c>
      <c r="G59" s="260">
        <f>IF((G$11&lt;=90),G39*(G$11)/90,0)+IF(AND(90&lt;G$11,G$11&lt;=120),G39+(G$11-90)/90*G35,0)</f>
        <v>72673.890784371615</v>
      </c>
      <c r="H59" s="230"/>
    </row>
    <row r="60" spans="1:8" ht="13">
      <c r="A60" s="36" t="s">
        <v>134</v>
      </c>
      <c r="C60" s="259">
        <f>IF(C$11&lt;=30,C$11/30*C40,0)+IF(AND(30&lt;C$11,C$11&lt;=60),C40+(C$11-30)/30*C38,0)+IF(AND(60&lt;C$11,C$11&lt;=90),C40+C38+(C$11-60)/30*C37,0)+IF(AND(90&lt;C$11,C$11&lt;=120),C40+C38+C37+(C$11-90)/30*C36,0)</f>
        <v>80762.280112877444</v>
      </c>
      <c r="D60" s="259">
        <f>IF(D$11&lt;=30,D$11/30*D40,0)+IF(AND(30&lt;D$11,D$11&lt;=60),D40+(D$11-30)/30*D38,0)+IF(AND(60&lt;D$11,D$11&lt;=90),D40+D38+(D$11-60)/30*D37,0)+IF(AND(90&lt;D$11,D$11&lt;=120),D40+D38+D37+(D$11-90)/30*D36,0)</f>
        <v>74286.274467805939</v>
      </c>
      <c r="E60" s="258"/>
      <c r="F60" s="258"/>
      <c r="G60" s="258"/>
      <c r="H60" s="230"/>
    </row>
    <row r="61" spans="1:8" ht="13">
      <c r="A61" s="36" t="s">
        <v>135</v>
      </c>
      <c r="C61" s="259">
        <f>IF(C$11&lt;=30,C$11/30*C41,0)+IF(AND(30&lt;C$11,C$11&lt;=60),C41+(C$11-30)/30*C40,0)+IF(AND(60&lt;C$11,C$11&lt;=90),C41+C40+(C$11-60)/30*C38,0)+IF(AND(90&lt;C$11,C$11&lt;=120),C41+C40+C38+(C$11-90)/30*C37,0)</f>
        <v>96914.736135452913</v>
      </c>
      <c r="D61" s="259">
        <f>IF(D$11&lt;=30,D$11/30*D41,0)+IF(AND(30&lt;D$11,D$11&lt;=60),D41+(D$11-30)/30*D40,0)+IF(AND(60&lt;D$11,D$11&lt;=90),D41+D40+(D$11-60)/30*D38,0)+IF(AND(90&lt;D$11,D$11&lt;=120),D41+D40+D38+(D$11-90)/30*D37,0)</f>
        <v>74286.274467805939</v>
      </c>
      <c r="E61" s="258"/>
      <c r="F61" s="258"/>
      <c r="G61" s="258"/>
      <c r="H61" s="230"/>
    </row>
    <row r="62" spans="1:8" ht="13">
      <c r="A62" s="36" t="s">
        <v>136</v>
      </c>
      <c r="C62" s="260">
        <f>IF(C$11&lt;=30,C$11/30*C42,0)+IF(AND(30&lt;C$11,C$11&lt;=60),C42+(C$11-30)/30*C41,0)+IF(AND(60&lt;C$11,C$11&lt;=90),C42+C41+(C$11-60)/30*C40,0)+IF(AND(90&lt;C$11,C$11&lt;=120),C42+C41+C40+(C$11-90)/30*C38,0)</f>
        <v>121143.42016931614</v>
      </c>
      <c r="D62" s="260">
        <f>IF(D$11&lt;=30,D$11/30*D42,0)+IF(AND(30&lt;D$11,D$11&lt;=60),D42+(D$11-30)/30*D41,0)+IF(AND(60&lt;D$11,D$11&lt;=90),D42+D41+(D$11-60)/30*D40,0)+IF(AND(90&lt;D$11,D$11&lt;=120),D42+D41+D40+(D$11-90)/30*D38,0)</f>
        <v>74286.274467805939</v>
      </c>
      <c r="E62" s="260">
        <f>IF((E$11&lt;=90),E43*(E$11)/90,0)+IF(AND(90&lt;E$11,E$11&lt;=120),E43+(E$11-90)/90*E39,0)</f>
        <v>79270.514286443358</v>
      </c>
      <c r="F62" s="260">
        <f>IF((F$11&lt;=90),F43*(F$11)/90,0)+IF(AND(90&lt;F$11,F$11&lt;=120),F43+(F$11-90)/90*F39,0)</f>
        <v>91882.207294867112</v>
      </c>
      <c r="G62" s="260">
        <f>IF((G$11&lt;=90),G43*(G$11)/90,0)+IF(AND(90&lt;G$11,G$11&lt;=120),G43+(G$11-90)/90*G39,0)</f>
        <v>90842.363480464512</v>
      </c>
      <c r="H62" s="230"/>
    </row>
    <row r="63" spans="1:8" ht="13">
      <c r="A63" s="36" t="s">
        <v>137</v>
      </c>
      <c r="C63" s="259">
        <f>IF(C$11&lt;=30,C$11/30*C44,0)+IF(AND(30&lt;C$11,C$11&lt;=60),C44+(C$11-30)/30*C42,0)+IF(AND(60&lt;C$11,C$11&lt;=90),C44+C42+(C$11-60)/30*C41,0)+IF(AND(90&lt;C$11,C$11&lt;=120),C44+C42+C41+(C$11-90)/30*C40,0)</f>
        <v>96914.736135452913</v>
      </c>
      <c r="D63" s="259">
        <f>IF(D$11&lt;=30,D$11/30*D44,0)+IF(AND(30&lt;D$11,D$11&lt;=60),D44+(D$11-30)/30*D42,0)+IF(AND(60&lt;D$11,D$11&lt;=90),D44+D42+(D$11-60)/30*D41,0)+IF(AND(90&lt;D$11,D$11&lt;=120),D44+D42+D41+(D$11-90)/30*D40,0)</f>
        <v>102143.62739323318</v>
      </c>
      <c r="E63" s="258"/>
      <c r="F63" s="258"/>
      <c r="G63" s="258"/>
      <c r="H63" s="230"/>
    </row>
    <row r="64" spans="1:8" ht="13">
      <c r="A64" s="36" t="s">
        <v>138</v>
      </c>
      <c r="C64" s="259">
        <f>IF(C$11&lt;=30,C$11/30*C45,0)+IF(AND(30&lt;C$11,C$11&lt;=60),C45+(C$11-30)/30*C44,0)+IF(AND(60&lt;C$11,C$11&lt;=90),C45+C44+(C$11-60)/30*C42,0)+IF(AND(90&lt;C$11,C$11&lt;=120),C45+C44+C42+(C$11-90)/30*C41,0)</f>
        <v>104990.96414674068</v>
      </c>
      <c r="D64" s="259">
        <f>IF(D$11&lt;=30,D$11/30*D45,0)+IF(AND(30&lt;D$11,D$11&lt;=60),D45+(D$11-30)/30*D44,0)+IF(AND(60&lt;D$11,D$11&lt;=90),D45+D44+(D$11-60)/30*D42,0)+IF(AND(90&lt;D$11,D$11&lt;=120),D45+D44+D42+(D$11-90)/30*D41,0)</f>
        <v>83572.058776281687</v>
      </c>
      <c r="E64" s="258"/>
      <c r="F64" s="258"/>
      <c r="G64" s="258"/>
    </row>
    <row r="65" spans="1:7" ht="13">
      <c r="A65" s="36" t="s">
        <v>139</v>
      </c>
      <c r="C65" s="260">
        <f>IF(C$11&lt;=30,C$11/30*C46,0)+IF(AND(30&lt;C$11,C$11&lt;=60),C46+(C$11-30)/30*C45,0)+IF(AND(60&lt;C$11,C$11&lt;=90),C46+C45+(C$11-60)/30*C44,0)+IF(AND(90&lt;C$11,C$11&lt;=120),C46+C45+C44+(C$11-90)/30*C42,0)</f>
        <v>121143.42016931614</v>
      </c>
      <c r="D65" s="260">
        <f>IF(D$11&lt;=30,D$11/30*D46,0)+IF(AND(30&lt;D$11,D$11&lt;=60),D46+(D$11-30)/30*D45,0)+IF(AND(60&lt;D$11,D$11&lt;=90),D46+D45+(D$11-60)/30*D44,0)+IF(AND(90&lt;D$11,D$11&lt;=120),D46+D45+D44+(D$11-90)/30*D42,0)</f>
        <v>92857.843084757449</v>
      </c>
      <c r="E65" s="260">
        <f>IF((E$11&lt;=90),E47*(E$11)/90,0)+IF(AND(90&lt;E$11,E$11&lt;=120),E47+(E$11-90)/90*E43,0)</f>
        <v>103396.32298231743</v>
      </c>
      <c r="F65" s="260">
        <f>IF((F$11&lt;=90),F47*(F$11)/90,0)+IF(AND(90&lt;F$11,F$11&lt;=120),F47+(F$11-90)/90*F43,0)</f>
        <v>98950.069394472259</v>
      </c>
      <c r="G65" s="260">
        <f>IF((G$11&lt;=90),G47*(G$11)/90,0)+IF(AND(90&lt;G$11,G$11&lt;=120),G47+(G$11-90)/90*G43,0)</f>
        <v>112644.53071577601</v>
      </c>
    </row>
    <row r="66" spans="1:7">
      <c r="A66" s="212"/>
      <c r="C66" s="230"/>
      <c r="D66" s="230"/>
      <c r="E66" s="230"/>
      <c r="F66" s="230"/>
      <c r="G66" s="230"/>
    </row>
    <row r="67" spans="1:7">
      <c r="A67" s="212"/>
      <c r="C67" s="230"/>
      <c r="D67" s="230"/>
      <c r="E67" s="230"/>
      <c r="F67" s="230"/>
      <c r="G67" s="230"/>
    </row>
    <row r="68" spans="1:7" ht="15">
      <c r="A68" s="225" t="s">
        <v>166</v>
      </c>
      <c r="C68" s="36"/>
      <c r="E68" s="214"/>
      <c r="F68" s="214"/>
      <c r="G68" s="36"/>
    </row>
    <row r="69" spans="1:7" ht="15">
      <c r="A69" s="36"/>
      <c r="B69" s="36"/>
      <c r="C69" s="36"/>
      <c r="D69" s="213" t="s">
        <v>75</v>
      </c>
      <c r="E69" s="214"/>
      <c r="F69" s="214"/>
      <c r="G69" s="36"/>
    </row>
    <row r="70" spans="1:7" ht="15">
      <c r="A70" s="36"/>
      <c r="B70" s="36"/>
      <c r="C70" s="47" t="s">
        <v>54</v>
      </c>
      <c r="D70" s="47" t="s">
        <v>55</v>
      </c>
      <c r="E70" s="47" t="s">
        <v>56</v>
      </c>
      <c r="F70" s="47" t="s">
        <v>57</v>
      </c>
      <c r="G70" s="47" t="s">
        <v>58</v>
      </c>
    </row>
    <row r="71" spans="1:7" ht="13">
      <c r="A71" s="36" t="s">
        <v>128</v>
      </c>
      <c r="B71" s="36"/>
      <c r="C71" s="259">
        <f>IF(C$18&lt;=30,C$18/30*C32,0)+IF(AND(30&lt;C$18,C$18&lt;=60),C32,0)+IF(AND(60&lt;C$18,C$18&lt;=90),C32,0)+IF(AND(90&lt;C$18,C$18&lt;=120),C32,0)</f>
        <v>0</v>
      </c>
      <c r="D71" s="259">
        <f>IF(D$18&lt;=30,D$18/30*D32,0)+IF(AND(30&lt;D$18,D$18&lt;=60),D32+(D$18-30)/30*C46,0)+IF(AND(60&lt;D$18,D$18&lt;=90),D32+C46+(D$18-60)/30*C45,0)+IF(AND(90&lt;D$18,D$18&lt;=120),D32+C46+C45+(D$18-90)/30*C44,0)</f>
        <v>8950.1535503380655</v>
      </c>
      <c r="E71" s="258"/>
      <c r="F71" s="258"/>
      <c r="G71" s="258"/>
    </row>
    <row r="72" spans="1:7" ht="13">
      <c r="A72" s="36" t="s">
        <v>129</v>
      </c>
      <c r="C72" s="259">
        <f>IF(C$18&lt;=30,C$18/30*C33,0)+IF(AND(30&lt;C$18,C$18&lt;=60),C33+(C$18-30)/30*C32,0)+IF(AND(60&lt;C$18,C$18&lt;=90),C33+C32,0)+IF(AND(90&lt;C$18,C$18&lt;=120),C33+C32,0)</f>
        <v>0</v>
      </c>
      <c r="D72" s="259">
        <f>IF(D$18&lt;=30,D$18/30*D33,0)+IF(AND(30&lt;D$18,D$18&lt;=60),D33+(D$18-30)/30*D32,0)+IF(AND(60&lt;D$18,D$18&lt;=90),D33+D32+(D$18-60)/30*C46,0)+IF(AND(90&lt;D$18,D$18&lt;=120),D33+D32+C46+(D$18-90)/30*C45,0)</f>
        <v>8950.1535503380655</v>
      </c>
      <c r="E72" s="258"/>
      <c r="F72" s="258"/>
      <c r="G72" s="258"/>
    </row>
    <row r="73" spans="1:7" ht="13">
      <c r="A73" s="36" t="s">
        <v>130</v>
      </c>
      <c r="C73" s="260">
        <f>IF(C$18&lt;=30,C$18/30*C34,0)+IF(AND(30&lt;C$18,C$18&lt;=60),C34+(C$18-30)/30*C33,0)+IF(AND(60&lt;C$18,C$18&lt;=90),C34+C33+(C$18-60)/30*C32,0)+IF(AND(90&lt;C$18,C$18&lt;=120),C34+C33+C32,0)</f>
        <v>0</v>
      </c>
      <c r="D73" s="260">
        <f>IF(D$18&lt;=30,D$18/30*D34,0)+IF(AND(30&lt;D$18,D$18&lt;=60),D34+(D$18-30)/30*D33,0)+IF(AND(60&lt;D$18,D$18&lt;=90),D34+D33+(D$18-60)/30*D32,0)+IF(AND(90&lt;D$18,D$18&lt;=120),D34+D33+D32+(D$18-90)/30*C46,0)</f>
        <v>8950.1535503380655</v>
      </c>
      <c r="E73" s="260">
        <f>IF((E$18&lt;=90),E35*(E$18)/90,0)+IF(AND(90&lt;E$18,E$18&lt;=120),E35+(E$18-90)/90*D47,0)</f>
        <v>9965.9106488980651</v>
      </c>
      <c r="F73" s="260">
        <f>IF((F$18&lt;=90),F35*(F$18)/90,0)+IF(AND(90&lt;F$18,F$18&lt;=120),F35+(F$18-90)/90*E47,0)</f>
        <v>11070.145457212906</v>
      </c>
      <c r="G73" s="260">
        <f>IF((G$18&lt;=90),G35*(G$18)/90,0)+IF(AND(90&lt;G$18,G$18&lt;=120),G35+(G$18-90)/90*F47,0)</f>
        <v>10507.068547138064</v>
      </c>
    </row>
    <row r="74" spans="1:7" ht="13">
      <c r="A74" s="36" t="s">
        <v>131</v>
      </c>
      <c r="C74" s="259">
        <f>IF(C$18&lt;=30,C$18/30*C36,0)+IF(AND(30&lt;C$18,C$18&lt;=60),C36+(C$18-30)/30*C34,0)+IF(AND(60&lt;C$18,C$18&lt;=90),C36+C34+(C$18-60)/30*C33,0)+IF(AND(90&lt;C$18,C$18&lt;=120),C36+C34+C33+(C$18-90)/30*C32,0)</f>
        <v>4865.197597161291</v>
      </c>
      <c r="D74" s="259">
        <f>IF(D$18&lt;=30,D$18/30*D36,0)+IF(AND(30&lt;D$18,D$18&lt;=60),D36+(D$18-30)/30*D34,0)+IF(AND(60&lt;D$18,D$18&lt;=90),D36+D34+(D$18-60)/30*D33,0)+IF(AND(90&lt;D$18,D$18&lt;=120),D36+D34+D33+(D$18-90)/30*D32,0)</f>
        <v>8950.1535503380655</v>
      </c>
      <c r="E74" s="258"/>
      <c r="F74" s="258"/>
      <c r="G74" s="258"/>
    </row>
    <row r="75" spans="1:7" ht="13">
      <c r="A75" s="36" t="s">
        <v>132</v>
      </c>
      <c r="C75" s="259">
        <f>IF(C$18&lt;=30,C$18/30*C37,0)+IF(AND(30&lt;C$18,C$18&lt;=60),C37+(C$18-30)/30*C36,0)+IF(AND(60&lt;C$18,C$18&lt;=90),C37+C36+(C$18-60)/30*C34,0)+IF(AND(90&lt;C$18,C$18&lt;=120),C37+C36+C34+(C$18-90)/30*C33,0)</f>
        <v>7784.3161554580656</v>
      </c>
      <c r="D75" s="259">
        <f>IF(D$18&lt;=30,D$18/30*D37,0)+IF(AND(30&lt;D$18,D$18&lt;=60),D37+(D$18-30)/30*D36,0)+IF(AND(60&lt;D$18,D$18&lt;=90),D37+D36+(D$18-60)/30*D34,0)+IF(AND(90&lt;D$18,D$18&lt;=120),D37+D36+D34+(D$18-90)/30*D33,0)</f>
        <v>7831.3843565458083</v>
      </c>
      <c r="E75" s="258"/>
      <c r="F75" s="258"/>
      <c r="G75" s="258"/>
    </row>
    <row r="76" spans="1:7" ht="13">
      <c r="A76" s="36" t="s">
        <v>133</v>
      </c>
      <c r="C76" s="260">
        <f>IF(C$18&lt;=30,C$18/30*C38,0)+IF(AND(30&lt;C$18,C$18&lt;=60),C38+(C$18-30)/30*C37,0)+IF(AND(60&lt;C$18,C$18&lt;=90),C38+C37+(C$18-60)/30*C36,0)+IF(AND(90&lt;C$18,C$18&lt;=120),C38+C37+C36+(C$18-90)/30*C34,0)</f>
        <v>9730.395194322582</v>
      </c>
      <c r="D76" s="260">
        <f>IF(D$18&lt;=30,D$18/30*D38,0)+IF(AND(30&lt;D$18,D$18&lt;=60),D38+(D$18-30)/30*D37,0)+IF(AND(60&lt;D$18,D$18&lt;=90),D38+D37+(D$18-60)/30*D36,0)+IF(AND(90&lt;D$18,D$18&lt;=120),D38+D37+D36+(D$18-90)/30*D34,0)</f>
        <v>7831.3843565458083</v>
      </c>
      <c r="E76" s="260">
        <f>IF((E$18&lt;=90),E39*(E$18)/90,0)+IF(AND(90&lt;E$18,E$18&lt;=120),E39+(E$18-90)/90*E35,0)</f>
        <v>9550.6643718606465</v>
      </c>
      <c r="F76" s="260">
        <f>IF((F$18&lt;=90),F39*(F$18)/90,0)+IF(AND(90&lt;F$18,F$18&lt;=120),F35+(F$18-90)/90*E67,0)</f>
        <v>8515.4965055483899</v>
      </c>
      <c r="G76" s="260">
        <f>IF((G$18&lt;=90),G39*(G$18)/90,0)+IF(AND(90&lt;G$18,G$18&lt;=120),G35+(G$18-90)/90*F67,0)</f>
        <v>8755.8904559483872</v>
      </c>
    </row>
    <row r="77" spans="1:7" ht="13">
      <c r="A77" s="36" t="s">
        <v>134</v>
      </c>
      <c r="C77" s="259">
        <f>IF(C$18&lt;=30,C$18/30*C40,0)+IF(AND(30&lt;C$18,C$18&lt;=60),C40+(C$18-30)/30*C38,0)+IF(AND(60&lt;C$18,C$18&lt;=90),C40+C38+(C$18-60)/30*C37,0)+IF(AND(90&lt;C$18,C$18&lt;=120),C40+C38+C37+(C$18-90)/30*C36,0)</f>
        <v>9730.395194322582</v>
      </c>
      <c r="D77" s="259">
        <f>IF(D$18&lt;=30,D$18/30*D40,0)+IF(AND(30&lt;D$18,D$18&lt;=60),D40+(D$18-30)/30*D38,0)+IF(AND(60&lt;D$18,D$18&lt;=90),D40+D38+(D$18-60)/30*D37,0)+IF(AND(90&lt;D$18,D$18&lt;=120),D40+D38+D37+(D$18-90)/30*D36,0)</f>
        <v>8950.1535503380655</v>
      </c>
      <c r="E77" s="258"/>
      <c r="F77" s="258"/>
      <c r="G77" s="258"/>
    </row>
    <row r="78" spans="1:7" ht="13">
      <c r="A78" s="36" t="s">
        <v>135</v>
      </c>
      <c r="C78" s="259">
        <f>IF(C$18&lt;=30,C$18/30*C41,0)+IF(AND(30&lt;C$18,C$18&lt;=60),C41+(C$18-30)/30*C40,0)+IF(AND(60&lt;C$18,C$18&lt;=90),C41+C40+(C$18-60)/30*C38,0)+IF(AND(90&lt;C$18,C$18&lt;=120),C41+C40+C38+(C$18-90)/30*C37,0)</f>
        <v>11676.474233187098</v>
      </c>
      <c r="D78" s="259">
        <f>IF(D$18&lt;=30,D$18/30*D41,0)+IF(AND(30&lt;D$18,D$18&lt;=60),D41+(D$18-30)/30*D40,0)+IF(AND(60&lt;D$18,D$18&lt;=90),D41+D40+(D$18-60)/30*D38,0)+IF(AND(90&lt;D$18,D$18&lt;=120),D41+D40+D38+(D$18-90)/30*D37,0)</f>
        <v>8950.1535503380655</v>
      </c>
      <c r="E78" s="258"/>
      <c r="F78" s="258"/>
      <c r="G78" s="258"/>
    </row>
    <row r="79" spans="1:7" ht="13">
      <c r="A79" s="36" t="s">
        <v>136</v>
      </c>
      <c r="C79" s="260">
        <f>IF(C$18&lt;=30,C$18/30*C42,0)+IF(AND(30&lt;C$18,C$18&lt;=60),C42+(C$18-30)/30*C41,0)+IF(AND(60&lt;C$18,C$18&lt;=90),C42+C41+(C$18-60)/30*C40,0)+IF(AND(90&lt;C$18,C$18&lt;=120),C42+C41+C40+(C$18-90)/30*C38,0)</f>
        <v>14595.592791483872</v>
      </c>
      <c r="D79" s="260">
        <f>IF(D$18&lt;=30,D$18/30*D42,0)+IF(AND(30&lt;D$18,D$18&lt;=60),D42+(D$18-30)/30*D41,0)+IF(AND(60&lt;D$18,D$18&lt;=90),D42+D41+(D$18-60)/30*D40,0)+IF(AND(90&lt;D$18,D$18&lt;=120),D42+D41+D40+(D$18-90)/30*D38,0)</f>
        <v>8950.1535503380655</v>
      </c>
      <c r="E79" s="260">
        <f>IF((E$18&lt;=90),E43*(E$18)/90,0)+IF(AND(90&lt;E$18,E$18&lt;=120),E43+(E$18-90)/90*E39,0)</f>
        <v>9550.6643718606465</v>
      </c>
      <c r="F79" s="260">
        <f>IF((F$18&lt;=90),F43*(F$18)/90,0)+IF(AND(90&lt;F$18,F$18&lt;=120),#REF!+(F$18-90)/90*F39,0)</f>
        <v>11070.145457212904</v>
      </c>
      <c r="G79" s="260">
        <f>IF((G$18&lt;=90),G43*(G$18)/90,0)+IF(AND(90&lt;G$18,G$18&lt;=120),#REF!+(G$18-90)/90*G39,0)</f>
        <v>10944.863069935484</v>
      </c>
    </row>
    <row r="80" spans="1:7" ht="13">
      <c r="A80" s="36" t="s">
        <v>137</v>
      </c>
      <c r="C80" s="259">
        <f>IF(C$18&lt;=30,C$18/30*C44,0)+IF(AND(30&lt;C$18,C$18&lt;=60),C44+(C$18-30)/30*C42,0)+IF(AND(60&lt;C$18,C$18&lt;=90),C44+C42+(C$18-60)/30*C41,0)+IF(AND(90&lt;C$18,C$18&lt;=120),C44+C42+C41+(C$18-90)/30*C40,0)</f>
        <v>11676.474233187098</v>
      </c>
      <c r="D80" s="259">
        <f>IF(D$18&lt;=30,D$18/30*D44,0)+IF(AND(30&lt;D$18,D$18&lt;=60),D44+(D$18-30)/30*D42,0)+IF(AND(60&lt;D$18,D$18&lt;=90),D44+D42+(D$18-60)/30*D41,0)+IF(AND(90&lt;D$18,D$18&lt;=120),D44+D42+D41+(D$18-90)/30*D40,0)</f>
        <v>12306.461131714839</v>
      </c>
      <c r="E80" s="258"/>
      <c r="F80" s="258"/>
      <c r="G80" s="258"/>
    </row>
    <row r="81" spans="1:7" ht="13">
      <c r="A81" s="36" t="s">
        <v>138</v>
      </c>
      <c r="C81" s="259">
        <f>IF(C$18&lt;=30,C$18/30*C45,0)+IF(AND(30&lt;C$18,C$18&lt;=60),C45+(C$18-30)/30*C44,0)+IF(AND(60&lt;C$18,C$18&lt;=90),C45+C44+(C$18-60)/30*C42,0)+IF(AND(90&lt;C$18,C$18&lt;=120),C45+C44+C42+(C$18-90)/30*C41,0)</f>
        <v>12649.513752619358</v>
      </c>
      <c r="D81" s="259">
        <f>IF(D$18&lt;=30,D$18/30*D45,0)+IF(AND(30&lt;D$18,D$18&lt;=60),D45+(D$18-30)/30*D44,0)+IF(AND(60&lt;D$18,D$18&lt;=90),D45+D44+(D$18-60)/30*D42,0)+IF(AND(90&lt;D$18,D$18&lt;=120),D45+D44+D42+(D$18-90)/30*D41,0)</f>
        <v>10068.922744130325</v>
      </c>
      <c r="E81" s="258"/>
      <c r="F81" s="258"/>
      <c r="G81" s="258"/>
    </row>
    <row r="82" spans="1:7" ht="13">
      <c r="A82" s="36" t="s">
        <v>139</v>
      </c>
      <c r="C82" s="260">
        <f>IF(C$18&lt;=30,C$18/30*C46,0)+IF(AND(30&lt;C$18,C$18&lt;=60),C46+(C$18-30)/30*C45,0)+IF(AND(60&lt;C$18,C$18&lt;=90),C46+C45+(C$18-60)/30*C44,0)+IF(AND(90&lt;C$18,C$18&lt;=120),C46+C45+C44+(C$18-90)/30*C42,0)</f>
        <v>14595.592791483872</v>
      </c>
      <c r="D82" s="260">
        <f>IF(D$18&lt;=30,D$18/30*D46,0)+IF(AND(30&lt;D$18,D$18&lt;=60),D46+(D$18-30)/30*D45,0)+IF(AND(60&lt;D$18,D$18&lt;=90),D46+D45+(D$18-60)/30*D44,0)+IF(AND(90&lt;D$18,D$18&lt;=120),D46+D45+D44+(D$18-90)/30*D42,0)</f>
        <v>11187.691937922584</v>
      </c>
      <c r="E82" s="260">
        <f>IF((E$18&lt;=90),E47*(E$18)/90,0)+IF(AND(90&lt;E$18,E$18&lt;=120),E47+(E$18-90)/90*E43,0)</f>
        <v>12457.388311122582</v>
      </c>
      <c r="F82" s="260">
        <f>IF((F$18&lt;=90),F47*(F$18)/90,0)+IF(AND(90&lt;F$18,F$18&lt;=120),F47+(F$18-90)/90*F43,0)</f>
        <v>11921.695107767744</v>
      </c>
      <c r="G82" s="260">
        <f>IF((G$18&lt;=90),G47*(G$18)/90,0)+IF(AND(90&lt;G$18,G$18&lt;=120),G47+(G$18-90)/90*G43,0)</f>
        <v>13571.630206720001</v>
      </c>
    </row>
    <row r="85" spans="1:7" ht="15">
      <c r="A85" s="225" t="s">
        <v>167</v>
      </c>
      <c r="C85" s="36"/>
      <c r="E85" s="214"/>
      <c r="F85" s="214"/>
      <c r="G85" s="36"/>
    </row>
    <row r="86" spans="1:7" ht="15">
      <c r="A86" s="36"/>
      <c r="B86" s="36"/>
      <c r="C86" s="36"/>
      <c r="D86" s="213" t="s">
        <v>75</v>
      </c>
      <c r="E86" s="214"/>
      <c r="F86" s="214"/>
      <c r="G86" s="36"/>
    </row>
    <row r="87" spans="1:7" ht="15">
      <c r="A87" s="36"/>
      <c r="B87" s="36"/>
      <c r="C87" s="47" t="s">
        <v>54</v>
      </c>
      <c r="D87" s="47" t="s">
        <v>55</v>
      </c>
      <c r="E87" s="47" t="s">
        <v>56</v>
      </c>
      <c r="F87" s="47" t="s">
        <v>57</v>
      </c>
      <c r="G87" s="47" t="s">
        <v>58</v>
      </c>
    </row>
    <row r="88" spans="1:7" ht="13">
      <c r="A88" s="36" t="s">
        <v>128</v>
      </c>
      <c r="B88" s="36"/>
      <c r="C88" s="259">
        <f>IF(C$24&lt;=30,C$24/30*C22,0)+IF(AND(30&lt;C$24,C$24&lt;=60),C22,0)+IF(AND(60&lt;C$24,C$24&lt;=90),C22,0)+IF(AND(90&lt;C$24,C$24&lt;=120),C22,0)</f>
        <v>0</v>
      </c>
      <c r="D88" s="259">
        <f>IF(D$24&lt;=30,D$24/30*D22,0)+IF(AND(30&lt;D$24,D$24&lt;=60),D22+(D$24-30)/30*C46,0)+IF(AND(60&lt;D$24,D$24&lt;=90),D22+C29+(D$24-60)/30*C45,0)+IF(AND(90&lt;D$24,D$24&lt;=120),D22+C29+C28+(D$24-90)/30*C44,0)</f>
        <v>0</v>
      </c>
      <c r="E88" s="259">
        <f>IF(E$24&lt;=30,E$24/30*E22,0)+IF(AND(30&lt;E$24,E$24&lt;=60),E22+(E$24-30)/30*D46,0)+IF(AND(60&lt;E$24,E$24&lt;=90),E22+D29+(E$24-60)/30*D45,0)+IF(AND(90&lt;E$24,E$24&lt;=120),E22+D29+D28+(E$24-90)/30*D44,0)</f>
        <v>0</v>
      </c>
      <c r="F88" s="259">
        <f>IF(F$24&lt;=30,F$24/30*F22,0)+IF(AND(30&lt;F$24,F$24&lt;=60),F22+(F$24-30)/30*E46,0)+IF(AND(60&lt;F$24,F$24&lt;=90),F22+E29+(F$24-60)/30*E45,0)+IF(AND(90&lt;F$24,F$24&lt;=120),F22+E29+E28+(F$24-90)/30*E44,0)</f>
        <v>0</v>
      </c>
      <c r="G88" s="259">
        <f>IF(G$24&lt;=30,G$24/30*G22,0)+IF(AND(30&lt;G$24,G$24&lt;=60),G22+(G$24-30)/30*F46,0)+IF(AND(60&lt;G$24,G$24&lt;=90),G22+F29+(G$24-60)/30*F45,0)+IF(AND(90&lt;G$24,G$24&lt;=120),G22+F29+F28+(G$24-90)/30*F44,0)</f>
        <v>0</v>
      </c>
    </row>
    <row r="89" spans="1:7" ht="13">
      <c r="A89" s="36" t="s">
        <v>129</v>
      </c>
      <c r="C89" s="259">
        <f>IF(C$24&lt;=30,C$24/30*C23,0)+IF(AND(30&lt;C$24,C$24&lt;=60),C23+(C$24-30)/30*C22,0)+IF(AND(60&lt;C$24,C$24&lt;=90),C23+C22,0)+IF(AND(90&lt;C$24,C$24&lt;=120),C23+C22,0)</f>
        <v>2.0667000000000005E-2</v>
      </c>
      <c r="D89" s="259">
        <f>IF(D$24&lt;=30,D$24/30*D23,0)+IF(AND(30&lt;D$24,D$24&lt;=60),D23+(D$24-30)/30*D22,0)+IF(AND(60&lt;D$24,D$24&lt;=90),D23+D22+(D$24-60)/30*C29,0)+IF(AND(90&lt;D$24,D$24&lt;=120),D23+D22+C29+(D$24-90)/30*C28,0)</f>
        <v>2.1168000000000003E-2</v>
      </c>
      <c r="E89" s="259">
        <f>IF(E$24&lt;=30,E$24/30*E23,0)+IF(AND(30&lt;E$24,E$24&lt;=60),E23+(E$24-30)/30*E22,0)+IF(AND(60&lt;E$24,E$24&lt;=90),E23+E22+(E$24-60)/30*D29,0)+IF(AND(90&lt;E$24,E$24&lt;=120),E23+E22+D29+(E$24-90)/30*D28,0)</f>
        <v>2.1168000000000003E-2</v>
      </c>
      <c r="F89" s="259">
        <f>IF(F$24&lt;=30,F$24/30*F23,0)+IF(AND(30&lt;F$24,F$24&lt;=60),F23+(F$24-30)/30*F22,0)+IF(AND(60&lt;F$24,F$24&lt;=90),F23+F22+(F$24-60)/30*E29,0)+IF(AND(90&lt;F$24,F$24&lt;=120),F23+F22+E29+(F$24-90)/30*E28,0)</f>
        <v>2.1168000000000003E-2</v>
      </c>
      <c r="G89" s="259">
        <f>IF(G$24&lt;=30,G$24/30*G23,0)+IF(AND(30&lt;G$24,G$24&lt;=60),G23+(G$24-30)/30*G22,0)+IF(AND(60&lt;G$24,G$24&lt;=90),G23+G22+(G$24-60)/30*F29,0)+IF(AND(90&lt;G$24,G$24&lt;=120),G23+G22+F29+(G$24-90)/30*F28,0)</f>
        <v>2.1168000000000003E-2</v>
      </c>
    </row>
    <row r="90" spans="1:7" ht="13">
      <c r="A90" s="36" t="s">
        <v>130</v>
      </c>
      <c r="C90" s="260">
        <f>IF(C$24&lt;=30,C$24/30*C24,0)+IF(AND(30&lt;C$24,C$24&lt;=60),C24+(C$24-30)/30*C23,0)+IF(AND(60&lt;C$24,C$24&lt;=90),C24+C23+(C$24-60)/30*C22,0)+IF(AND(90&lt;C$24,C$24&lt;=120),C24+C23+C22,0)</f>
        <v>7.4401200000000012</v>
      </c>
      <c r="D90" s="260">
        <f>IF(D$24&lt;=30,D$24/30*D24,0)+IF(AND(30&lt;D$24,D$24&lt;=60),D24+(D$24-30)/30*D23,0)+IF(AND(60&lt;D$24,D$24&lt;=90),D24+D23+(D$24-60)/30*D22,0)+IF(AND(90&lt;D$24,D$24&lt;=120),D24+D23+D22+(D$24-90)/30*C29,0)</f>
        <v>7.6204800000000006</v>
      </c>
      <c r="E90" s="260">
        <f>IF((E$24&lt;=90),E35*(E$24)/90,0)+IF(AND(90&lt;E$24,E$24&lt;=120),E35+(E$24-90)/90*D47,0)</f>
        <v>41856.824725371873</v>
      </c>
      <c r="F90" s="260">
        <f>IF((F$24&lt;=90),F35*(F$24)/90,0)+IF(AND(90&lt;F$24,F$24&lt;=120),F35+(F$24-90)/90*E47,0)</f>
        <v>46494.61092029421</v>
      </c>
      <c r="G90" s="260">
        <f>IF((G$24&lt;=90),G35*(G$24)/90,0)+IF(AND(90&lt;G$24,G$24&lt;=120),G35+(G$24-90)/90*F47,0)</f>
        <v>44129.687897979871</v>
      </c>
    </row>
    <row r="91" spans="1:7" ht="13">
      <c r="A91" s="36" t="s">
        <v>131</v>
      </c>
      <c r="C91" s="259">
        <f>IF(C$24&lt;=30,C$24/30*C36,0)+IF(AND(30&lt;C$24,C$24&lt;=60),C36+(C$24-30)/30*C34,0)+IF(AND(60&lt;C$24,C$24&lt;=90),C36+C34+(C$24-60)/30*C33,0)+IF(AND(90&lt;C$24,C$24&lt;=120),C36+C34+C33+(C$24-90)/30*C32,0)</f>
        <v>20190.570028219361</v>
      </c>
      <c r="D91" s="259">
        <f>IF(D$24&lt;=30,D$24/30*D36,0)+IF(AND(30&lt;D$24,D$24&lt;=60),D36+(D$24-30)/30*D34,0)+IF(AND(60&lt;D$24,D$24&lt;=90),D36+D34+(D$24-60)/30*D33,0)+IF(AND(90&lt;D$24,D$24&lt;=120),D36+D34+D33+(D$24-90)/30*D32,0)</f>
        <v>37590.644911419869</v>
      </c>
      <c r="E91" s="259">
        <f t="shared" ref="E91:G91" si="0">IF(E$24&lt;=30,E$24/30*E36,0)+IF(AND(30&lt;E$24,E$24&lt;=60),E36+(E$24-30)/30*E34,0)+IF(AND(60&lt;E$24,E$24&lt;=90),E36+E34+(E$24-60)/30*E33,0)+IF(AND(90&lt;E$24,E$24&lt;=120),E36+E34+E33+(E$24-90)/30*E32,0)</f>
        <v>41856.824725371873</v>
      </c>
      <c r="F91" s="259">
        <f t="shared" si="0"/>
        <v>32188.576790972907</v>
      </c>
      <c r="G91" s="259">
        <f t="shared" si="0"/>
        <v>33097.265923484905</v>
      </c>
    </row>
    <row r="92" spans="1:7" ht="13">
      <c r="A92" s="36" t="s">
        <v>132</v>
      </c>
      <c r="C92" s="259">
        <f>IF(C$24&lt;=30,C$24/30*C37,0)+IF(AND(30&lt;C$24,C$24&lt;=60),C37+(C$24-30)/30*C36,0)+IF(AND(60&lt;C$24,C$24&lt;=90),C37+C36+(C$24-60)/30*C34,0)+IF(AND(90&lt;C$24,C$24&lt;=120),C37+C36+C34+(C$24-90)/30*C33,0)</f>
        <v>32304.912045150973</v>
      </c>
      <c r="D92" s="259">
        <f>IF(D$24&lt;=30,D$24/30*D37,0)+IF(AND(30&lt;D$24,D$24&lt;=60),D37+(D$24-30)/30*D36,0)+IF(AND(60&lt;D$24,D$24&lt;=90),D37+D36+(D$24-60)/30*D34,0)+IF(AND(90&lt;D$24,D$24&lt;=120),D37+D36+D34+(D$24-90)/30*D33,0)</f>
        <v>32891.81429749239</v>
      </c>
      <c r="E92" s="259">
        <f t="shared" ref="E92:G92" si="1">IF(E$24&lt;=30,E$24/30*E37,0)+IF(AND(30&lt;E$24,E$24&lt;=60),E37+(E$24-30)/30*E36,0)+IF(AND(60&lt;E$24,E$24&lt;=90),E37+E36+(E$24-60)/30*E34,0)+IF(AND(90&lt;E$24,E$24&lt;=120),E37+E36+E34+(E$24-90)/30*E33,0)</f>
        <v>41856.824725371873</v>
      </c>
      <c r="F92" s="259">
        <f t="shared" si="1"/>
        <v>37553.3395894684</v>
      </c>
      <c r="G92" s="259">
        <f t="shared" si="1"/>
        <v>38613.476910732388</v>
      </c>
    </row>
    <row r="93" spans="1:7" ht="13">
      <c r="A93" s="36" t="s">
        <v>133</v>
      </c>
      <c r="C93" s="260">
        <f>IF(C$24&lt;=30,C$24/30*C38,0)+IF(AND(30&lt;C$24,C$24&lt;=60),C38+(C$24-30)/30*C37,0)+IF(AND(60&lt;C$24,C$24&lt;=90),C38+C37+(C$24-60)/30*C36,0)+IF(AND(90&lt;C$24,C$24&lt;=120),C38+C37+C36+(C$24-90)/30*C34,0)</f>
        <v>40381.140056438722</v>
      </c>
      <c r="D93" s="260">
        <f>IF(D$24&lt;=30,D$24/30*D38,0)+IF(AND(30&lt;D$24,D$24&lt;=60),D38+(D$24-30)/30*D37,0)+IF(AND(60&lt;D$24,D$24&lt;=90),D38+D37+(D$24-60)/30*D36,0)+IF(AND(90&lt;D$24,D$24&lt;=120),D38+D37+D36+(D$24-90)/30*D34,0)</f>
        <v>32891.81429749239</v>
      </c>
      <c r="E93" s="260">
        <f>IF((E$24&lt;=90),E39*(E$24)/90,0)+IF(AND(90&lt;E$24,E$24&lt;=120),E39+(E$24-90)/90*E35,0)</f>
        <v>40112.79036181471</v>
      </c>
      <c r="F93" s="260">
        <f>IF((F$24&lt;=90),F39*(F$24)/90,0)+IF(AND(90&lt;F$24,F$24&lt;=120),F39+(F$24-90)/90*F35,0)</f>
        <v>35765.085323303239</v>
      </c>
      <c r="G93" s="260">
        <f>IF((G$24&lt;=90),G39*(G$24)/90,0)+IF(AND(90&lt;G$24,G$24&lt;=120),G39+(G$24-90)/90*G35,0)</f>
        <v>36774.739914983227</v>
      </c>
    </row>
    <row r="94" spans="1:7" ht="13">
      <c r="A94" s="36" t="s">
        <v>134</v>
      </c>
      <c r="C94" s="259">
        <f>IF(C$24&lt;=30,C$24/30*C40,0)+IF(AND(30&lt;C$24,C$24&lt;=60),C40+(C$24-30)/30*C38,0)+IF(AND(60&lt;C$24,C$24&lt;=90),C40+C38+(C$24-60)/30*C37,0)+IF(AND(90&lt;C$24,C$24&lt;=120),C40+C38+C37+(C$24-90)/30*C36,0)</f>
        <v>40381.140056438722</v>
      </c>
      <c r="D94" s="259">
        <f>IF(D$24&lt;=30,D$24/30*D40,0)+IF(AND(30&lt;D$24,D$24&lt;=60),D40+(D$24-30)/30*D38,0)+IF(AND(60&lt;D$24,D$24&lt;=90),D40+D38+(D$24-60)/30*D37,0)+IF(AND(90&lt;D$24,D$24&lt;=120),D40+D38+D37+(D$24-90)/30*D36,0)</f>
        <v>37590.644911419869</v>
      </c>
      <c r="E94" s="259">
        <f t="shared" ref="E94:G95" si="2">IF(E$24&lt;=30,E$24/30*E40,0)+IF(AND(30&lt;E$24,E$24&lt;=60),E40+(E$24-30)/30*E38,0)+IF(AND(60&lt;E$24,E$24&lt;=90),E40+E38+(E$24-60)/30*E37,0)+IF(AND(90&lt;E$24,E$24&lt;=120),E40+E38+E37+(E$24-90)/30*E36,0)</f>
        <v>41856.824725371873</v>
      </c>
      <c r="F94" s="259">
        <f t="shared" si="2"/>
        <v>42918.102387963874</v>
      </c>
      <c r="G94" s="259">
        <f t="shared" si="2"/>
        <v>44129.687897979871</v>
      </c>
    </row>
    <row r="95" spans="1:7" ht="13">
      <c r="A95" s="36" t="s">
        <v>135</v>
      </c>
      <c r="C95" s="259">
        <f>IF(C$24&lt;=30,C$24/30*C41,0)+IF(AND(30&lt;C$24,C$24&lt;=60),C41+(C$24-30)/30*C40,0)+IF(AND(60&lt;C$24,C$24&lt;=90),C41+C40+(C$24-60)/30*C38,0)+IF(AND(90&lt;C$24,C$24&lt;=120),C41+C40+C38+(C$24-90)/30*C37,0)</f>
        <v>48457.368067726457</v>
      </c>
      <c r="D95" s="259">
        <f>IF(D$24&lt;=30,D$24/30*D41,0)+IF(AND(30&lt;D$24,D$24&lt;=60),D41+(D$24-30)/30*D39,0)+IF(AND(60&lt;D$24,D$24&lt;=90),D41+D39+(D$24-60)/30*D38,0)+IF(AND(90&lt;D$24,D$24&lt;=120),D41+D39+D38+(D$24-90)/30*D37,0)</f>
        <v>37590.644911419869</v>
      </c>
      <c r="E95" s="259">
        <f t="shared" si="2"/>
        <v>36624.721634700392</v>
      </c>
      <c r="F95" s="259">
        <f t="shared" si="2"/>
        <v>53647.627984954845</v>
      </c>
      <c r="G95" s="259">
        <f t="shared" si="2"/>
        <v>44129.687897979871</v>
      </c>
    </row>
    <row r="96" spans="1:7" ht="13">
      <c r="A96" s="36" t="s">
        <v>136</v>
      </c>
      <c r="C96" s="260">
        <f>IF(C$24&lt;=30,C$24/30*C42,0)+IF(AND(30&lt;C$24,C$24&lt;=60),C42+(C$24-30)/30*C41,0)+IF(AND(60&lt;C$24,C$24&lt;=90),C42+C41+(C$24-60)/30*C40,0)+IF(AND(90&lt;C$24,C$24&lt;=120),C42+C41+C40+(C$24-90)/30*C38,0)</f>
        <v>60571.710084658072</v>
      </c>
      <c r="D96" s="260">
        <f>IF(D$24&lt;=30,D$24/30*D42,0)+IF(AND(30&lt;D$24,D$24&lt;=60),D42+(D$24-30)/30*D41,0)+IF(AND(60&lt;D$24,D$24&lt;=90),D42+D41+(D$24-60)/30*D40,0)+IF(AND(90&lt;D$24,D$24&lt;=120),D42+D41+D40+(D$24-90)/30*D38,0)</f>
        <v>37590.644911419869</v>
      </c>
      <c r="E96" s="260">
        <f>IF((E$24&lt;=90),E43*(E$24)/90,0)+IF(AND(90&lt;E$24,E$24&lt;=120),E43+(E$24-90)/90*E39,0)</f>
        <v>40112.79036181471</v>
      </c>
      <c r="F96" s="260">
        <f>IF((F$24&lt;=90),F43*(F$24)/90,0)+IF(AND(90&lt;F$24,F$24&lt;=120),F43+(F$24-90)/90*F39,0)</f>
        <v>46494.610920294195</v>
      </c>
      <c r="G96" s="260">
        <f>IF((G$24&lt;=90),G43*(G$24)/90,0)+IF(AND(90&lt;G$24,G$24&lt;=120),G43+(G$24-90)/90*G39,0)</f>
        <v>45968.424893729032</v>
      </c>
    </row>
    <row r="97" spans="1:7" ht="13">
      <c r="A97" s="36" t="s">
        <v>137</v>
      </c>
      <c r="C97" s="259">
        <f>IF(C$24&lt;=30,C$24/30*C44,0)+IF(AND(30&lt;C$24,C$24&lt;=60),C44+(C$24-30)/30*C42,0)+IF(AND(60&lt;C$24,C$24&lt;=90),C44+C42+(C$24-60)/30*C41,0)+IF(AND(90&lt;C$24,C$24&lt;=120),C44+C42+C41+(C$24-90)/30*C40,0)</f>
        <v>48457.368067726457</v>
      </c>
      <c r="D97" s="259">
        <f>IF(D$24&lt;=30,D$24/30*D44,0)+IF(AND(30&lt;D$24,D$24&lt;=60),D44+(D$24-30)/30*D42,0)+IF(AND(60&lt;D$24,D$24&lt;=90),D44+D42+(D$24-60)/30*D41,0)+IF(AND(90&lt;D$24,D$24&lt;=120),D44+D42+D41+(D$24-90)/30*D40,0)</f>
        <v>51687.136753202321</v>
      </c>
      <c r="E97" s="259">
        <f t="shared" ref="E97:G98" si="3">IF(E$24&lt;=30,E$24/30*E44,0)+IF(AND(30&lt;E$24,E$24&lt;=60),E44+(E$24-30)/30*E42,0)+IF(AND(60&lt;E$24,E$24&lt;=90),E44+E42+(E$24-60)/30*E41,0)+IF(AND(90&lt;E$24,E$24&lt;=120),E44+E42+E41+(E$24-90)/30*E40,0)</f>
        <v>57553.133997386321</v>
      </c>
      <c r="F97" s="259">
        <f t="shared" si="3"/>
        <v>53647.627984954845</v>
      </c>
      <c r="G97" s="259">
        <f t="shared" si="3"/>
        <v>60678.32085972232</v>
      </c>
    </row>
    <row r="98" spans="1:7" ht="13">
      <c r="A98" s="36" t="s">
        <v>138</v>
      </c>
      <c r="C98" s="259">
        <f>IF(C$24&lt;=30,C$24/30*C45,0)+IF(AND(30&lt;C$24,C$24&lt;=60),C45+(C$24-30)/30*C44,0)+IF(AND(60&lt;C$24,C$24&lt;=90),C45+C44+(C$24-60)/30*C42,0)+IF(AND(90&lt;C$24,C$24&lt;=120),C45+C44+C42+(C$24-90)/30*C41,0)</f>
        <v>52495.482073370338</v>
      </c>
      <c r="D98" s="259">
        <f>IF(D$24&lt;=30,D$24/30*D45,0)+IF(AND(30&lt;D$24,D$24&lt;=60),D45+(D$24-30)/30*D43,0)+IF(AND(60&lt;D$24,D$24&lt;=90),D45+D43+(D$24-60)/30*D42,0)+IF(AND(90&lt;D$24,D$24&lt;=120),D45+D43+D42+(D$24-90)/30*D41,0)</f>
        <v>42289.475525347356</v>
      </c>
      <c r="E98" s="259">
        <f t="shared" si="3"/>
        <v>47088.927816043346</v>
      </c>
      <c r="F98" s="259">
        <f t="shared" si="3"/>
        <v>48282.865186459356</v>
      </c>
      <c r="G98" s="259">
        <f t="shared" si="3"/>
        <v>55162.109872474837</v>
      </c>
    </row>
    <row r="99" spans="1:7" ht="13">
      <c r="A99" s="36" t="s">
        <v>139</v>
      </c>
      <c r="C99" s="260">
        <f>IF(C$24&lt;=30,C$24/30*C46,0)+IF(AND(30&lt;C$24,C$24&lt;=60),C46+(C$24-30)/30*C45,0)+IF(AND(60&lt;C$24,C$24&lt;=90),C46+C45+(C$24-60)/30*C44,0)+IF(AND(90&lt;C$24,C$24&lt;=120),C46+C45+C44+(C$24-90)/30*C42,0)</f>
        <v>60571.710084658072</v>
      </c>
      <c r="D99" s="260">
        <f>IF(D$24&lt;=30,D$24/30*D46,0)+IF(AND(30&lt;D$24,D$24&lt;=60),D46+(D$24-30)/30*D45,0)+IF(AND(60&lt;D$24,D$24&lt;=90),D46+D45+(D$24-60)/30*D44,0)+IF(AND(90&lt;D$24,D$24&lt;=120),D46+D45+D44+(D$24-90)/30*D42,0)</f>
        <v>46988.306139274842</v>
      </c>
      <c r="E99" s="260">
        <f>IF((E$24&lt;=90),E47*(E$24)/90,0)+IF(AND(90&lt;E$24,E$24&lt;=120),E47+(E$24-90)/90*E43,0)</f>
        <v>52321.030906714841</v>
      </c>
      <c r="F99" s="260">
        <f>IF((F$24&lt;=90),F47*(F$24)/90,0)+IF(AND(90&lt;F$24,F$24&lt;=120),F47+(F$24-90)/90*F43,0)</f>
        <v>50071.119452624516</v>
      </c>
      <c r="G99" s="260">
        <f>IF((G$24&lt;=90),G47*(G$24)/90,0)+IF(AND(90&lt;G$24,G$24&lt;=120),G47+(G$24-90)/90*G43,0)</f>
        <v>57000.846868224005</v>
      </c>
    </row>
  </sheetData>
  <phoneticPr fontId="0" type="noConversion"/>
  <pageMargins left="0.75" right="0.75" top="0.5" bottom="0.5" header="0.5" footer="0.5"/>
  <pageSetup scale="84" fitToHeight="0" orientation="portrait" horizontalDpi="300" verticalDpi="300"/>
  <headerFooter alignWithMargins="0">
    <oddHeader>&amp;R&amp;D
&amp;T</oddHeader>
  </headerFooter>
  <rowBreaks count="1" manualBreakCount="1">
    <brk id="84" max="16383" man="1"/>
  </rowBreaks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pageSetUpPr fitToPage="1"/>
  </sheetPr>
  <dimension ref="A1:I137"/>
  <sheetViews>
    <sheetView workbookViewId="0">
      <selection activeCell="C6" sqref="C6"/>
    </sheetView>
  </sheetViews>
  <sheetFormatPr baseColWidth="10" defaultColWidth="8.7109375" defaultRowHeight="13" x14ac:dyDescent="0"/>
  <cols>
    <col min="1" max="1" width="35" style="12" customWidth="1"/>
    <col min="2" max="2" width="11" style="12" customWidth="1"/>
    <col min="3" max="3" width="10.7109375" style="12" customWidth="1"/>
    <col min="4" max="4" width="12.42578125" style="12" customWidth="1"/>
    <col min="5" max="7" width="11.28515625" style="12" customWidth="1"/>
    <col min="8" max="16384" width="8.7109375" style="12"/>
  </cols>
  <sheetData>
    <row r="1" spans="1:8" ht="18">
      <c r="A1" s="173" t="str">
        <f>'PROJ SPECS'!A1</f>
        <v>AQUAPONICS FARMING</v>
      </c>
      <c r="B1" s="195"/>
      <c r="C1" s="195"/>
      <c r="D1" s="195"/>
      <c r="E1" s="195"/>
      <c r="F1" s="195"/>
      <c r="G1" s="195"/>
    </row>
    <row r="2" spans="1:8" s="171" customFormat="1" ht="16">
      <c r="A2" s="169" t="s">
        <v>44</v>
      </c>
      <c r="B2" s="170"/>
      <c r="C2" s="170"/>
      <c r="D2" s="170"/>
      <c r="E2" s="170"/>
      <c r="F2" s="170"/>
      <c r="G2" s="170"/>
      <c r="H2" s="170"/>
    </row>
    <row r="3" spans="1:8" s="171" customFormat="1" ht="16">
      <c r="A3" s="169" t="s">
        <v>53</v>
      </c>
      <c r="B3" s="170"/>
      <c r="C3" s="170"/>
      <c r="D3" s="170"/>
      <c r="E3" s="170"/>
      <c r="F3" s="170"/>
      <c r="G3" s="170"/>
      <c r="H3" s="170"/>
    </row>
    <row r="4" spans="1:8" s="171" customFormat="1" ht="16">
      <c r="A4" s="172" t="s">
        <v>75</v>
      </c>
      <c r="H4" s="170"/>
    </row>
    <row r="5" spans="1:8" ht="15">
      <c r="A5" s="40"/>
      <c r="B5" s="174" t="s">
        <v>124</v>
      </c>
      <c r="C5" s="57" t="s">
        <v>54</v>
      </c>
      <c r="D5" s="57" t="s">
        <v>55</v>
      </c>
      <c r="E5" s="57" t="s">
        <v>56</v>
      </c>
      <c r="F5" s="57" t="s">
        <v>57</v>
      </c>
      <c r="G5" s="57" t="s">
        <v>58</v>
      </c>
    </row>
    <row r="6" spans="1:8" ht="15">
      <c r="A6" s="227" t="s">
        <v>210</v>
      </c>
      <c r="B6" s="253">
        <v>1000000</v>
      </c>
      <c r="C6" s="243"/>
      <c r="D6" s="243"/>
      <c r="E6" s="243"/>
      <c r="F6" s="243"/>
      <c r="G6" s="243"/>
    </row>
    <row r="7" spans="1:8">
      <c r="A7" s="131" t="s">
        <v>101</v>
      </c>
      <c r="B7" s="30"/>
      <c r="C7" s="104"/>
      <c r="D7" s="104"/>
      <c r="E7" s="104"/>
      <c r="F7" s="104"/>
      <c r="G7" s="104"/>
    </row>
    <row r="8" spans="1:8">
      <c r="A8" s="74" t="s">
        <v>80</v>
      </c>
      <c r="B8" s="244"/>
      <c r="C8" s="244"/>
      <c r="D8" s="244"/>
      <c r="E8" s="244"/>
      <c r="F8" s="244"/>
      <c r="G8" s="244"/>
    </row>
    <row r="9" spans="1:8">
      <c r="A9" s="132" t="s">
        <v>169</v>
      </c>
      <c r="B9" s="31"/>
      <c r="C9" s="245">
        <f>C8-B8</f>
        <v>0</v>
      </c>
      <c r="D9" s="245">
        <f>D8-C8</f>
        <v>0</v>
      </c>
      <c r="E9" s="245">
        <f>E8-D8</f>
        <v>0</v>
      </c>
      <c r="F9" s="245">
        <f>F8-E8</f>
        <v>0</v>
      </c>
      <c r="G9" s="245">
        <f>G8-F8</f>
        <v>0</v>
      </c>
    </row>
    <row r="10" spans="1:8">
      <c r="A10" s="133" t="s">
        <v>81</v>
      </c>
      <c r="B10" s="244"/>
      <c r="C10" s="244"/>
      <c r="D10" s="244"/>
      <c r="E10" s="244"/>
      <c r="F10" s="244"/>
      <c r="G10" s="244"/>
    </row>
    <row r="11" spans="1:8">
      <c r="A11" s="132" t="s">
        <v>212</v>
      </c>
      <c r="B11" s="244"/>
      <c r="C11" s="244"/>
      <c r="D11" s="244"/>
      <c r="E11" s="244"/>
      <c r="F11" s="244"/>
      <c r="G11" s="244"/>
    </row>
    <row r="12" spans="1:8">
      <c r="A12" s="132" t="s">
        <v>213</v>
      </c>
      <c r="B12" s="244"/>
      <c r="C12" s="244"/>
      <c r="D12" s="244"/>
      <c r="E12" s="244"/>
      <c r="F12" s="244"/>
      <c r="G12" s="244"/>
    </row>
    <row r="13" spans="1:8">
      <c r="A13" s="228" t="s">
        <v>214</v>
      </c>
      <c r="B13" s="244"/>
      <c r="C13" s="244"/>
      <c r="D13" s="244"/>
      <c r="E13" s="244"/>
      <c r="F13" s="244"/>
      <c r="G13" s="244"/>
    </row>
    <row r="14" spans="1:8">
      <c r="A14" s="132" t="s">
        <v>169</v>
      </c>
      <c r="B14" s="30"/>
      <c r="C14" s="245">
        <f>C13-B13</f>
        <v>0</v>
      </c>
      <c r="D14" s="245">
        <f>D13-C13</f>
        <v>0</v>
      </c>
      <c r="E14" s="245">
        <f>E13-D13</f>
        <v>0</v>
      </c>
      <c r="F14" s="245">
        <f>F13-E13</f>
        <v>0</v>
      </c>
      <c r="G14" s="245">
        <f>G13-F13</f>
        <v>0</v>
      </c>
    </row>
    <row r="15" spans="1:8">
      <c r="A15" s="133" t="s">
        <v>67</v>
      </c>
      <c r="B15" s="78">
        <f t="shared" ref="B15:G15" si="0">B8+B13</f>
        <v>0</v>
      </c>
      <c r="C15" s="78">
        <f t="shared" si="0"/>
        <v>0</v>
      </c>
      <c r="D15" s="78">
        <f t="shared" si="0"/>
        <v>0</v>
      </c>
      <c r="E15" s="78">
        <f t="shared" si="0"/>
        <v>0</v>
      </c>
      <c r="F15" s="78">
        <f t="shared" si="0"/>
        <v>0</v>
      </c>
      <c r="G15" s="78">
        <f t="shared" si="0"/>
        <v>0</v>
      </c>
    </row>
    <row r="16" spans="1:8">
      <c r="A16" s="133"/>
      <c r="B16" s="104"/>
      <c r="C16" s="104"/>
      <c r="D16" s="104"/>
      <c r="E16" s="104"/>
      <c r="F16" s="104"/>
      <c r="G16" s="104"/>
    </row>
    <row r="17" spans="1:7">
      <c r="A17" s="131" t="s">
        <v>102</v>
      </c>
      <c r="B17" s="30"/>
      <c r="C17" s="104"/>
      <c r="D17" s="104"/>
      <c r="E17" s="104"/>
      <c r="F17" s="104"/>
      <c r="G17" s="104"/>
    </row>
    <row r="18" spans="1:7">
      <c r="A18" s="227" t="s">
        <v>104</v>
      </c>
      <c r="B18" s="244"/>
      <c r="C18" s="244"/>
      <c r="D18" s="244"/>
      <c r="E18" s="244"/>
      <c r="F18" s="244"/>
      <c r="G18" s="244"/>
    </row>
    <row r="19" spans="1:7">
      <c r="A19" s="132" t="s">
        <v>169</v>
      </c>
      <c r="B19" s="30"/>
      <c r="C19" s="247">
        <f>C18-B18</f>
        <v>0</v>
      </c>
      <c r="D19" s="247">
        <f>D18-C18</f>
        <v>0</v>
      </c>
      <c r="E19" s="247">
        <f>E18-D18</f>
        <v>0</v>
      </c>
      <c r="F19" s="247">
        <f>F18-E18</f>
        <v>0</v>
      </c>
      <c r="G19" s="247">
        <f>G18-F18</f>
        <v>0</v>
      </c>
    </row>
    <row r="20" spans="1:7">
      <c r="A20" s="132"/>
      <c r="B20" s="30"/>
      <c r="C20" s="80"/>
      <c r="D20" s="80"/>
      <c r="E20" s="80"/>
      <c r="F20" s="80"/>
      <c r="G20" s="80"/>
    </row>
    <row r="21" spans="1:7">
      <c r="A21" s="75" t="s">
        <v>103</v>
      </c>
      <c r="B21" s="30"/>
      <c r="C21" s="104"/>
      <c r="D21" s="104"/>
      <c r="E21" s="104"/>
      <c r="F21" s="104"/>
      <c r="G21" s="104"/>
    </row>
    <row r="22" spans="1:7">
      <c r="A22" s="79" t="s">
        <v>172</v>
      </c>
      <c r="B22" s="244"/>
      <c r="C22" s="244"/>
      <c r="D22" s="244"/>
      <c r="E22" s="244"/>
      <c r="F22" s="244"/>
      <c r="G22" s="244"/>
    </row>
    <row r="23" spans="1:7">
      <c r="A23" s="79" t="s">
        <v>173</v>
      </c>
      <c r="B23" s="251"/>
      <c r="C23" s="251"/>
      <c r="D23" s="251"/>
      <c r="E23" s="215"/>
      <c r="F23" s="251"/>
      <c r="G23" s="251"/>
    </row>
    <row r="24" spans="1:7">
      <c r="A24" s="98" t="s">
        <v>79</v>
      </c>
      <c r="B24" s="244"/>
      <c r="C24" s="247">
        <f>C22+C23</f>
        <v>0</v>
      </c>
      <c r="D24" s="247">
        <f>D22+D23</f>
        <v>0</v>
      </c>
      <c r="E24" s="247">
        <f>E22+E23</f>
        <v>0</v>
      </c>
      <c r="F24" s="247">
        <f>F22+F23</f>
        <v>0</v>
      </c>
      <c r="G24" s="247">
        <f>G22+G23</f>
        <v>0</v>
      </c>
    </row>
    <row r="25" spans="1:7">
      <c r="A25" s="31"/>
      <c r="B25" s="31"/>
      <c r="C25" s="31"/>
      <c r="D25" s="31"/>
      <c r="E25" s="31"/>
      <c r="F25" s="31"/>
      <c r="G25" s="31"/>
    </row>
    <row r="26" spans="1:7">
      <c r="A26" s="132" t="s">
        <v>169</v>
      </c>
      <c r="B26" s="31"/>
      <c r="C26" s="31"/>
      <c r="D26" s="31"/>
      <c r="E26" s="31"/>
      <c r="F26" s="31"/>
      <c r="G26" s="31"/>
    </row>
    <row r="27" spans="1:7">
      <c r="A27" s="228" t="s">
        <v>170</v>
      </c>
      <c r="B27" s="247"/>
      <c r="C27" s="247">
        <f t="shared" ref="C27:G28" si="1">C22-B22</f>
        <v>0</v>
      </c>
      <c r="D27" s="247">
        <f t="shared" si="1"/>
        <v>0</v>
      </c>
      <c r="E27" s="247">
        <f t="shared" si="1"/>
        <v>0</v>
      </c>
      <c r="F27" s="247">
        <f t="shared" si="1"/>
        <v>0</v>
      </c>
      <c r="G27" s="247">
        <f t="shared" si="1"/>
        <v>0</v>
      </c>
    </row>
    <row r="28" spans="1:7">
      <c r="A28" s="228" t="s">
        <v>171</v>
      </c>
      <c r="B28" s="247"/>
      <c r="C28" s="247">
        <f t="shared" si="1"/>
        <v>0</v>
      </c>
      <c r="D28" s="247">
        <f t="shared" si="1"/>
        <v>0</v>
      </c>
      <c r="E28" s="247">
        <f t="shared" si="1"/>
        <v>0</v>
      </c>
      <c r="F28" s="247">
        <f t="shared" si="1"/>
        <v>0</v>
      </c>
      <c r="G28" s="247">
        <f t="shared" si="1"/>
        <v>0</v>
      </c>
    </row>
    <row r="29" spans="1:7">
      <c r="A29" s="257" t="s">
        <v>79</v>
      </c>
      <c r="B29" s="379"/>
      <c r="C29" s="245">
        <f>SUM(C27:C28)</f>
        <v>0</v>
      </c>
      <c r="D29" s="245">
        <f>SUM(D27:D28)</f>
        <v>0</v>
      </c>
      <c r="E29" s="245">
        <f>SUM(E27:E28)</f>
        <v>0</v>
      </c>
      <c r="F29" s="245">
        <f>SUM(F27:F28)</f>
        <v>0</v>
      </c>
      <c r="G29" s="245">
        <f>SUM(G27:G28)</f>
        <v>0</v>
      </c>
    </row>
    <row r="30" spans="1:7">
      <c r="A30" s="257"/>
      <c r="B30" s="31"/>
      <c r="C30" s="246"/>
      <c r="D30" s="246"/>
      <c r="E30" s="246"/>
      <c r="F30" s="246"/>
      <c r="G30" s="246"/>
    </row>
    <row r="31" spans="1:7">
      <c r="A31" s="295" t="s">
        <v>211</v>
      </c>
      <c r="B31" s="377">
        <f t="shared" ref="B31:G31" si="2">B15+B18+B24</f>
        <v>0</v>
      </c>
      <c r="C31" s="377">
        <f t="shared" si="2"/>
        <v>0</v>
      </c>
      <c r="D31" s="377">
        <f t="shared" si="2"/>
        <v>0</v>
      </c>
      <c r="E31" s="377">
        <f t="shared" si="2"/>
        <v>0</v>
      </c>
      <c r="F31" s="377">
        <f t="shared" si="2"/>
        <v>0</v>
      </c>
      <c r="G31" s="377">
        <f t="shared" si="2"/>
        <v>0</v>
      </c>
    </row>
    <row r="32" spans="1:7">
      <c r="A32" s="257"/>
      <c r="B32" s="31"/>
      <c r="C32" s="246"/>
      <c r="D32" s="246"/>
      <c r="E32" s="246"/>
      <c r="F32" s="246"/>
      <c r="G32" s="246"/>
    </row>
    <row r="33" spans="1:9">
      <c r="A33" s="75" t="s">
        <v>168</v>
      </c>
      <c r="B33" s="30"/>
      <c r="C33" s="104"/>
      <c r="D33" s="104"/>
      <c r="E33" s="104"/>
      <c r="F33" s="104"/>
      <c r="G33" s="104"/>
    </row>
    <row r="34" spans="1:9">
      <c r="A34" s="134" t="s">
        <v>60</v>
      </c>
      <c r="B34" s="30"/>
      <c r="C34" s="104"/>
      <c r="D34" s="104"/>
      <c r="E34" s="104"/>
      <c r="F34" s="104"/>
      <c r="G34" s="104"/>
    </row>
    <row r="35" spans="1:9">
      <c r="A35" s="132" t="s">
        <v>77</v>
      </c>
      <c r="B35" s="30"/>
      <c r="C35" s="248"/>
      <c r="D35" s="248"/>
      <c r="E35" s="248"/>
      <c r="F35" s="248"/>
      <c r="G35" s="248"/>
    </row>
    <row r="36" spans="1:9">
      <c r="A36" s="79" t="s">
        <v>78</v>
      </c>
      <c r="B36" s="30"/>
      <c r="C36" s="248"/>
      <c r="D36" s="248"/>
      <c r="E36" s="248"/>
      <c r="F36" s="248"/>
      <c r="G36" s="248"/>
    </row>
    <row r="37" spans="1:9" ht="15">
      <c r="A37" s="31"/>
      <c r="B37" s="30"/>
      <c r="C37" s="104"/>
      <c r="D37" s="104"/>
      <c r="E37" s="104"/>
      <c r="F37" s="104"/>
      <c r="G37" s="104"/>
      <c r="H37" s="14"/>
      <c r="I37" s="14"/>
    </row>
    <row r="38" spans="1:9">
      <c r="A38" s="134" t="s">
        <v>0</v>
      </c>
      <c r="B38" s="30"/>
      <c r="C38" s="104"/>
      <c r="D38" s="104"/>
      <c r="E38" s="104"/>
      <c r="F38" s="104"/>
      <c r="G38" s="104"/>
    </row>
    <row r="39" spans="1:9">
      <c r="A39" s="132" t="s">
        <v>77</v>
      </c>
      <c r="B39" s="30"/>
      <c r="C39" s="78">
        <f>C35*C18</f>
        <v>0</v>
      </c>
      <c r="D39" s="78">
        <f>D35*D18</f>
        <v>0</v>
      </c>
      <c r="E39" s="78">
        <f>E35*E18</f>
        <v>0</v>
      </c>
      <c r="F39" s="78">
        <f>F35*F18</f>
        <v>0</v>
      </c>
      <c r="G39" s="78">
        <f>G35*G18</f>
        <v>0</v>
      </c>
    </row>
    <row r="40" spans="1:9">
      <c r="A40" s="79" t="s">
        <v>78</v>
      </c>
      <c r="B40" s="30"/>
      <c r="C40" s="78">
        <f>C36*C24</f>
        <v>0</v>
      </c>
      <c r="D40" s="78">
        <f>D36*D24</f>
        <v>0</v>
      </c>
      <c r="E40" s="78">
        <f>E36*E24</f>
        <v>0</v>
      </c>
      <c r="F40" s="78">
        <f>F36*F24</f>
        <v>0</v>
      </c>
      <c r="G40" s="78">
        <f>G36*G24</f>
        <v>0</v>
      </c>
    </row>
    <row r="41" spans="1:9">
      <c r="A41" s="79" t="s">
        <v>82</v>
      </c>
      <c r="B41" s="30"/>
      <c r="C41" s="247">
        <f>SUM(C39:C40)</f>
        <v>0</v>
      </c>
      <c r="D41" s="247">
        <f>SUM(D39:D40)</f>
        <v>0</v>
      </c>
      <c r="E41" s="247">
        <f>SUM(E39:E40)</f>
        <v>0</v>
      </c>
      <c r="F41" s="247">
        <f>SUM(F39:F40)</f>
        <v>0</v>
      </c>
      <c r="G41" s="247">
        <f>SUM(G39:G40)</f>
        <v>0</v>
      </c>
    </row>
    <row r="42" spans="1:9">
      <c r="A42" s="31"/>
      <c r="B42" s="31"/>
      <c r="C42" s="31"/>
      <c r="D42" s="31"/>
      <c r="E42" s="31"/>
      <c r="F42" s="31"/>
      <c r="G42" s="31"/>
    </row>
    <row r="43" spans="1:9">
      <c r="A43" s="380" t="s">
        <v>96</v>
      </c>
      <c r="B43" s="30"/>
      <c r="C43" s="104"/>
      <c r="D43" s="104"/>
      <c r="E43" s="104"/>
      <c r="F43" s="104"/>
      <c r="G43" s="104"/>
    </row>
    <row r="44" spans="1:9">
      <c r="A44" s="79" t="s">
        <v>60</v>
      </c>
      <c r="B44" s="31"/>
      <c r="C44" s="249"/>
      <c r="D44" s="249"/>
      <c r="E44" s="249"/>
      <c r="F44" s="249"/>
      <c r="G44" s="249"/>
    </row>
    <row r="45" spans="1:9">
      <c r="A45" s="132" t="s">
        <v>96</v>
      </c>
      <c r="B45" s="31"/>
      <c r="C45" s="253"/>
      <c r="D45" s="253"/>
      <c r="E45" s="253"/>
      <c r="F45" s="253"/>
      <c r="G45" s="253"/>
    </row>
    <row r="46" spans="1:9">
      <c r="A46" s="133"/>
      <c r="B46" s="31"/>
      <c r="C46" s="31"/>
      <c r="D46" s="31"/>
      <c r="E46" s="31"/>
      <c r="F46" s="31"/>
      <c r="G46" s="31"/>
    </row>
    <row r="47" spans="1:9">
      <c r="A47" s="131" t="s">
        <v>105</v>
      </c>
      <c r="B47" s="31"/>
      <c r="C47" s="31"/>
      <c r="D47" s="31"/>
      <c r="E47" s="31"/>
      <c r="F47" s="31"/>
      <c r="G47" s="31"/>
    </row>
    <row r="48" spans="1:9">
      <c r="A48" s="133" t="s">
        <v>63</v>
      </c>
      <c r="B48" s="31"/>
      <c r="C48" s="250">
        <f>'NET PROFIT'!C33</f>
        <v>165945.53648043028</v>
      </c>
      <c r="D48" s="250">
        <f>'NET PROFIT'!D33</f>
        <v>294774.29090943001</v>
      </c>
      <c r="E48" s="250">
        <f>'NET PROFIT'!E33</f>
        <v>390536.08083243005</v>
      </c>
      <c r="F48" s="250">
        <f>'NET PROFIT'!F33</f>
        <v>411715.35674043023</v>
      </c>
      <c r="G48" s="250">
        <f>'NET PROFIT'!G33</f>
        <v>435536.65503692999</v>
      </c>
    </row>
    <row r="49" spans="1:7">
      <c r="A49" s="74" t="s">
        <v>65</v>
      </c>
      <c r="B49" s="30"/>
      <c r="C49" s="251"/>
      <c r="D49" s="251"/>
      <c r="E49" s="251"/>
      <c r="F49" s="251"/>
      <c r="G49" s="251"/>
    </row>
    <row r="50" spans="1:7">
      <c r="A50" s="74" t="s">
        <v>89</v>
      </c>
      <c r="B50" s="30"/>
      <c r="C50" s="78">
        <f>C48-C49</f>
        <v>165945.53648043028</v>
      </c>
      <c r="D50" s="78">
        <f>D48-D49</f>
        <v>294774.29090943001</v>
      </c>
      <c r="E50" s="78">
        <f>E48-E49</f>
        <v>390536.08083243005</v>
      </c>
      <c r="F50" s="78">
        <f>F48-F49</f>
        <v>411715.35674043023</v>
      </c>
      <c r="G50" s="78">
        <f>G48-G49</f>
        <v>435536.65503692999</v>
      </c>
    </row>
    <row r="51" spans="1:7">
      <c r="A51" s="133" t="s">
        <v>90</v>
      </c>
      <c r="B51" s="252"/>
      <c r="C51" s="76">
        <v>0</v>
      </c>
      <c r="D51" s="78">
        <f>C52</f>
        <v>165945.53648043028</v>
      </c>
      <c r="E51" s="78">
        <f>D52</f>
        <v>460719.82738986029</v>
      </c>
      <c r="F51" s="78">
        <f>E52</f>
        <v>851255.90822229034</v>
      </c>
      <c r="G51" s="78">
        <f>F52</f>
        <v>1262971.2649627207</v>
      </c>
    </row>
    <row r="52" spans="1:7">
      <c r="A52" s="133" t="s">
        <v>91</v>
      </c>
      <c r="B52" s="31"/>
      <c r="C52" s="247">
        <f>C50+C51</f>
        <v>165945.53648043028</v>
      </c>
      <c r="D52" s="247">
        <f>D50+D51</f>
        <v>460719.82738986029</v>
      </c>
      <c r="E52" s="247">
        <f>E50+E51</f>
        <v>851255.90822229034</v>
      </c>
      <c r="F52" s="247">
        <f>F50+F51</f>
        <v>1262971.2649627207</v>
      </c>
      <c r="G52" s="247">
        <f>G50+G51</f>
        <v>1698507.9199996507</v>
      </c>
    </row>
    <row r="53" spans="1:7">
      <c r="A53" s="29"/>
      <c r="B53"/>
      <c r="C53" s="39"/>
      <c r="D53" s="39"/>
      <c r="E53" s="39"/>
      <c r="F53" s="39"/>
      <c r="G53" s="39"/>
    </row>
    <row r="54" spans="1:7">
      <c r="A54" s="15"/>
      <c r="B54"/>
      <c r="C54" s="24"/>
      <c r="D54" s="24"/>
      <c r="E54" s="24"/>
      <c r="F54" s="24"/>
      <c r="G54" s="24"/>
    </row>
    <row r="55" spans="1:7">
      <c r="A55"/>
      <c r="B55"/>
      <c r="C55"/>
      <c r="D55"/>
      <c r="E55"/>
      <c r="F55"/>
      <c r="G55"/>
    </row>
    <row r="56" spans="1:7">
      <c r="A56"/>
      <c r="B56"/>
      <c r="C56"/>
      <c r="D56"/>
      <c r="E56"/>
      <c r="F56"/>
      <c r="G56"/>
    </row>
    <row r="57" spans="1:7">
      <c r="A57"/>
      <c r="B57"/>
      <c r="C57"/>
      <c r="D57"/>
      <c r="E57"/>
      <c r="F57"/>
      <c r="G57"/>
    </row>
    <row r="58" spans="1:7">
      <c r="A58"/>
      <c r="B58"/>
      <c r="C58"/>
      <c r="D58"/>
      <c r="E58"/>
      <c r="F58"/>
      <c r="G58"/>
    </row>
    <row r="59" spans="1:7">
      <c r="A59"/>
      <c r="B59"/>
      <c r="C59"/>
      <c r="D59"/>
      <c r="E59"/>
      <c r="F59"/>
      <c r="G59"/>
    </row>
    <row r="60" spans="1:7">
      <c r="A60"/>
      <c r="B60"/>
      <c r="C60"/>
      <c r="D60"/>
      <c r="E60"/>
      <c r="F60"/>
      <c r="G60"/>
    </row>
    <row r="61" spans="1:7">
      <c r="A61"/>
      <c r="B61"/>
      <c r="C61"/>
      <c r="D61"/>
      <c r="E61"/>
      <c r="F61"/>
      <c r="G61"/>
    </row>
    <row r="62" spans="1:7">
      <c r="A62"/>
      <c r="B62"/>
      <c r="C62"/>
      <c r="D62"/>
      <c r="E62"/>
      <c r="F62"/>
      <c r="G62"/>
    </row>
    <row r="63" spans="1:7">
      <c r="A63"/>
      <c r="B63"/>
      <c r="C63"/>
      <c r="D63"/>
      <c r="E63"/>
      <c r="F63"/>
      <c r="G63"/>
    </row>
    <row r="64" spans="1:7">
      <c r="A64"/>
      <c r="B64"/>
      <c r="C64"/>
      <c r="D64"/>
      <c r="E64"/>
      <c r="F64"/>
      <c r="G64"/>
    </row>
    <row r="65" spans="1:9">
      <c r="A65"/>
      <c r="B65"/>
      <c r="C65"/>
      <c r="D65"/>
      <c r="E65"/>
      <c r="F65"/>
      <c r="G65"/>
    </row>
    <row r="66" spans="1:9">
      <c r="A66"/>
      <c r="B66"/>
      <c r="C66"/>
      <c r="D66"/>
      <c r="E66"/>
      <c r="F66"/>
      <c r="G66"/>
    </row>
    <row r="67" spans="1:9">
      <c r="A67"/>
      <c r="B67"/>
      <c r="C67"/>
      <c r="D67"/>
      <c r="E67"/>
      <c r="F67"/>
      <c r="G67"/>
    </row>
    <row r="68" spans="1:9">
      <c r="A68"/>
      <c r="B68"/>
      <c r="C68"/>
      <c r="D68"/>
      <c r="E68"/>
      <c r="F68"/>
      <c r="G68"/>
    </row>
    <row r="69" spans="1:9">
      <c r="A69"/>
      <c r="B69"/>
      <c r="C69"/>
      <c r="D69"/>
      <c r="E69"/>
      <c r="F69"/>
      <c r="G69"/>
    </row>
    <row r="70" spans="1:9" ht="15">
      <c r="A70"/>
      <c r="B70"/>
      <c r="C70"/>
      <c r="D70"/>
      <c r="E70"/>
      <c r="F70"/>
      <c r="G70"/>
      <c r="H70" s="14"/>
      <c r="I70" s="14"/>
    </row>
    <row r="71" spans="1:9">
      <c r="A71"/>
      <c r="B71"/>
      <c r="C71"/>
      <c r="D71"/>
      <c r="E71"/>
      <c r="F71"/>
      <c r="G71"/>
    </row>
    <row r="72" spans="1:9">
      <c r="A72"/>
      <c r="B72"/>
      <c r="C72"/>
      <c r="D72"/>
      <c r="E72"/>
      <c r="F72"/>
      <c r="G72"/>
    </row>
    <row r="73" spans="1:9">
      <c r="A73"/>
      <c r="B73"/>
      <c r="C73"/>
      <c r="D73"/>
      <c r="E73"/>
      <c r="F73"/>
      <c r="G73"/>
    </row>
    <row r="74" spans="1:9">
      <c r="A74"/>
      <c r="B74"/>
      <c r="C74"/>
      <c r="D74"/>
      <c r="E74"/>
      <c r="F74"/>
      <c r="G74"/>
    </row>
    <row r="75" spans="1:9">
      <c r="A75"/>
      <c r="B75"/>
      <c r="C75"/>
      <c r="D75"/>
      <c r="E75"/>
      <c r="F75"/>
      <c r="G75"/>
    </row>
    <row r="76" spans="1:9">
      <c r="A76"/>
      <c r="B76"/>
      <c r="C76"/>
      <c r="D76"/>
      <c r="E76"/>
      <c r="F76"/>
      <c r="G76"/>
    </row>
    <row r="77" spans="1:9">
      <c r="A77"/>
      <c r="B77"/>
      <c r="C77"/>
      <c r="D77"/>
      <c r="E77"/>
      <c r="F77"/>
      <c r="G77"/>
    </row>
    <row r="78" spans="1:9">
      <c r="A78"/>
      <c r="B78"/>
      <c r="C78"/>
      <c r="D78"/>
      <c r="E78"/>
      <c r="F78"/>
      <c r="G78"/>
    </row>
    <row r="79" spans="1:9">
      <c r="A79"/>
      <c r="B79"/>
      <c r="C79"/>
      <c r="D79"/>
      <c r="E79"/>
      <c r="F79"/>
      <c r="G79"/>
    </row>
    <row r="80" spans="1:9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9">
      <c r="A97"/>
      <c r="B97"/>
      <c r="C97"/>
      <c r="D97"/>
      <c r="E97"/>
      <c r="F97"/>
      <c r="G97"/>
    </row>
    <row r="98" spans="1:9">
      <c r="A98"/>
      <c r="B98"/>
      <c r="C98"/>
      <c r="D98"/>
      <c r="E98"/>
      <c r="F98"/>
      <c r="G98"/>
    </row>
    <row r="99" spans="1:9">
      <c r="A99"/>
      <c r="B99"/>
      <c r="C99"/>
      <c r="D99"/>
      <c r="E99"/>
      <c r="F99"/>
      <c r="G99"/>
    </row>
    <row r="100" spans="1:9">
      <c r="A100"/>
      <c r="B100"/>
      <c r="C100"/>
      <c r="D100"/>
      <c r="E100"/>
      <c r="F100"/>
      <c r="G100"/>
    </row>
    <row r="101" spans="1:9">
      <c r="A101"/>
      <c r="B101"/>
      <c r="C101"/>
      <c r="D101"/>
      <c r="E101"/>
      <c r="F101"/>
      <c r="G101"/>
    </row>
    <row r="102" spans="1:9">
      <c r="A102"/>
      <c r="B102"/>
      <c r="C102"/>
      <c r="D102"/>
      <c r="E102"/>
      <c r="F102"/>
      <c r="G102"/>
    </row>
    <row r="103" spans="1:9" ht="15">
      <c r="A103"/>
      <c r="B103"/>
      <c r="C103"/>
      <c r="D103"/>
      <c r="E103"/>
      <c r="F103"/>
      <c r="G103"/>
      <c r="H103" s="14"/>
      <c r="I103" s="14"/>
    </row>
    <row r="104" spans="1:9">
      <c r="A104"/>
      <c r="B104"/>
      <c r="C104"/>
      <c r="D104"/>
      <c r="E104"/>
      <c r="F104"/>
      <c r="G104"/>
    </row>
    <row r="105" spans="1:9">
      <c r="A105"/>
      <c r="B105"/>
      <c r="C105"/>
      <c r="D105"/>
      <c r="E105"/>
      <c r="F105"/>
      <c r="G105"/>
    </row>
    <row r="106" spans="1:9">
      <c r="A106"/>
      <c r="B106"/>
      <c r="C106"/>
      <c r="D106"/>
      <c r="E106"/>
      <c r="F106"/>
      <c r="G106"/>
    </row>
    <row r="107" spans="1:9">
      <c r="A107"/>
      <c r="B107"/>
      <c r="C107"/>
      <c r="D107"/>
      <c r="E107"/>
      <c r="F107"/>
      <c r="G107"/>
    </row>
    <row r="108" spans="1:9">
      <c r="A108"/>
      <c r="B108"/>
      <c r="C108"/>
      <c r="D108"/>
      <c r="E108"/>
      <c r="F108"/>
      <c r="G108"/>
    </row>
    <row r="109" spans="1:9">
      <c r="A109"/>
      <c r="B109"/>
      <c r="C109"/>
      <c r="D109"/>
      <c r="E109"/>
      <c r="F109"/>
      <c r="G109"/>
    </row>
    <row r="110" spans="1:9">
      <c r="A110"/>
      <c r="B110"/>
      <c r="C110"/>
      <c r="D110"/>
      <c r="E110"/>
      <c r="F110"/>
      <c r="G110"/>
    </row>
    <row r="111" spans="1:9">
      <c r="A111"/>
      <c r="B111"/>
      <c r="C111"/>
      <c r="D111"/>
      <c r="E111"/>
      <c r="F111"/>
      <c r="G111"/>
    </row>
    <row r="112" spans="1:9">
      <c r="A112"/>
      <c r="B112"/>
      <c r="C112"/>
      <c r="D112"/>
      <c r="E112"/>
      <c r="F112"/>
      <c r="G112"/>
    </row>
    <row r="113" spans="1:7">
      <c r="A113"/>
      <c r="B113"/>
      <c r="C113"/>
      <c r="D113"/>
      <c r="E113"/>
      <c r="F113"/>
      <c r="G113"/>
    </row>
    <row r="114" spans="1:7">
      <c r="A114"/>
      <c r="B114"/>
      <c r="C114"/>
      <c r="D114"/>
      <c r="E114"/>
      <c r="F114"/>
      <c r="G114"/>
    </row>
    <row r="115" spans="1:7">
      <c r="A115"/>
      <c r="B115"/>
      <c r="C115"/>
      <c r="D115"/>
      <c r="E115"/>
      <c r="F115"/>
      <c r="G115"/>
    </row>
    <row r="116" spans="1:7">
      <c r="A116"/>
      <c r="B116"/>
      <c r="C116"/>
      <c r="D116"/>
      <c r="E116"/>
      <c r="F116"/>
      <c r="G116"/>
    </row>
    <row r="117" spans="1:7">
      <c r="A117"/>
      <c r="B117"/>
      <c r="C117"/>
      <c r="D117"/>
      <c r="E117"/>
      <c r="F117"/>
      <c r="G117"/>
    </row>
    <row r="118" spans="1:7">
      <c r="A118"/>
      <c r="B118"/>
      <c r="C118"/>
      <c r="D118"/>
      <c r="E118"/>
      <c r="F118"/>
      <c r="G118"/>
    </row>
    <row r="119" spans="1:7">
      <c r="A119"/>
      <c r="B119"/>
      <c r="C119"/>
      <c r="D119"/>
      <c r="E119"/>
      <c r="F119"/>
      <c r="G119"/>
    </row>
    <row r="120" spans="1:7">
      <c r="A120"/>
      <c r="B120"/>
      <c r="C120"/>
      <c r="D120"/>
      <c r="E120"/>
      <c r="F120"/>
      <c r="G120"/>
    </row>
    <row r="121" spans="1:7">
      <c r="A121"/>
      <c r="B121"/>
      <c r="C121"/>
      <c r="D121"/>
      <c r="E121"/>
      <c r="F121"/>
      <c r="G121"/>
    </row>
    <row r="122" spans="1:7">
      <c r="A122"/>
      <c r="B122"/>
      <c r="C122"/>
      <c r="D122"/>
      <c r="E122"/>
      <c r="F122"/>
      <c r="G122"/>
    </row>
    <row r="123" spans="1:7">
      <c r="A123"/>
      <c r="B123"/>
      <c r="C123"/>
      <c r="D123"/>
      <c r="E123"/>
      <c r="F123"/>
      <c r="G123"/>
    </row>
    <row r="124" spans="1:7">
      <c r="A124"/>
      <c r="B124"/>
      <c r="C124"/>
      <c r="D124"/>
      <c r="E124"/>
      <c r="F124"/>
      <c r="G124"/>
    </row>
    <row r="125" spans="1:7">
      <c r="A125"/>
      <c r="B125"/>
      <c r="C125"/>
      <c r="D125"/>
      <c r="E125"/>
      <c r="F125"/>
      <c r="G125"/>
    </row>
    <row r="126" spans="1:7">
      <c r="A126"/>
      <c r="B126"/>
      <c r="C126"/>
      <c r="D126"/>
      <c r="E126"/>
      <c r="F126"/>
      <c r="G126"/>
    </row>
    <row r="127" spans="1:7">
      <c r="A127"/>
      <c r="B127"/>
      <c r="C127"/>
      <c r="D127"/>
      <c r="E127"/>
      <c r="F127"/>
      <c r="G127"/>
    </row>
    <row r="128" spans="1:7">
      <c r="A128"/>
      <c r="B128"/>
      <c r="C128"/>
      <c r="D128"/>
      <c r="E128"/>
      <c r="F128"/>
      <c r="G128"/>
    </row>
    <row r="129" spans="1:7">
      <c r="A129"/>
      <c r="B129"/>
      <c r="C129"/>
      <c r="D129"/>
      <c r="E129"/>
      <c r="F129"/>
      <c r="G129"/>
    </row>
    <row r="130" spans="1:7">
      <c r="A130"/>
      <c r="B130"/>
      <c r="C130"/>
      <c r="D130"/>
      <c r="E130"/>
      <c r="F130"/>
      <c r="G130"/>
    </row>
    <row r="131" spans="1:7">
      <c r="A131"/>
      <c r="B131"/>
      <c r="C131"/>
      <c r="D131"/>
      <c r="E131"/>
      <c r="F131"/>
      <c r="G131"/>
    </row>
    <row r="132" spans="1:7">
      <c r="A132"/>
      <c r="B132"/>
      <c r="C132"/>
      <c r="D132"/>
      <c r="E132"/>
      <c r="F132"/>
      <c r="G132"/>
    </row>
    <row r="133" spans="1:7">
      <c r="A133"/>
      <c r="B133"/>
      <c r="C133"/>
      <c r="D133"/>
      <c r="E133"/>
      <c r="F133"/>
      <c r="G133"/>
    </row>
    <row r="134" spans="1:7">
      <c r="A134"/>
      <c r="B134"/>
      <c r="C134"/>
      <c r="D134"/>
      <c r="E134"/>
      <c r="F134"/>
      <c r="G134"/>
    </row>
    <row r="135" spans="1:7">
      <c r="A135"/>
      <c r="B135"/>
      <c r="C135"/>
      <c r="D135"/>
      <c r="E135"/>
      <c r="F135"/>
      <c r="G135"/>
    </row>
    <row r="136" spans="1:7">
      <c r="A136" s="16"/>
      <c r="B136" s="13"/>
      <c r="C136" s="13"/>
      <c r="D136" s="13"/>
      <c r="E136" s="13"/>
      <c r="F136" s="13"/>
      <c r="G136" s="13"/>
    </row>
    <row r="137" spans="1:7">
      <c r="A137" s="11"/>
      <c r="B137" s="13"/>
      <c r="C137" s="13"/>
      <c r="D137" s="13"/>
      <c r="E137" s="13"/>
      <c r="F137" s="13"/>
      <c r="G137" s="13"/>
    </row>
  </sheetData>
  <phoneticPr fontId="0" type="noConversion"/>
  <pageMargins left="0.75" right="0.75" top="0.5" bottom="0.5" header="0.5" footer="0.5"/>
  <pageSetup scale="88" orientation="portrait" horizontalDpi="300" verticalDpi="300"/>
  <headerFooter alignWithMargins="0">
    <oddHeader>&amp;R&amp;D
&amp;T</oddHeader>
  </headerFooter>
  <rowBreaks count="2" manualBreakCount="2">
    <brk id="89" max="65535" man="1"/>
    <brk id="124" max="65535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G40"/>
  <sheetViews>
    <sheetView topLeftCell="A6" zoomScale="85" zoomScaleNormal="85" zoomScalePageLayoutView="85" workbookViewId="0">
      <selection activeCell="C15" sqref="C15"/>
    </sheetView>
  </sheetViews>
  <sheetFormatPr baseColWidth="10" defaultColWidth="8.7109375" defaultRowHeight="12" x14ac:dyDescent="0"/>
  <cols>
    <col min="1" max="1" width="37.140625" style="448" customWidth="1"/>
    <col min="2" max="2" width="3.7109375" style="448" customWidth="1"/>
    <col min="3" max="3" width="10.7109375" style="448" customWidth="1"/>
    <col min="4" max="4" width="9.42578125" style="448" customWidth="1"/>
    <col min="5" max="7" width="9.5703125" style="448" customWidth="1"/>
    <col min="8" max="16384" width="8.7109375" style="448"/>
  </cols>
  <sheetData>
    <row r="1" spans="1:7" ht="18">
      <c r="A1" s="148" t="str">
        <f>PERSONNEL!A1</f>
        <v>AQUAPONICS FARMING</v>
      </c>
      <c r="B1" s="447"/>
      <c r="C1" s="447"/>
      <c r="D1" s="447"/>
      <c r="E1" s="447"/>
      <c r="F1" s="447"/>
      <c r="G1" s="447"/>
    </row>
    <row r="2" spans="1:7" s="449" customFormat="1" ht="15">
      <c r="A2" s="147" t="s">
        <v>43</v>
      </c>
    </row>
    <row r="3" spans="1:7" s="449" customFormat="1" ht="15">
      <c r="A3" s="147" t="s">
        <v>53</v>
      </c>
    </row>
    <row r="4" spans="1:7" s="449" customFormat="1" ht="15">
      <c r="A4" s="147" t="s">
        <v>75</v>
      </c>
    </row>
    <row r="5" spans="1:7" ht="15">
      <c r="B5" s="450"/>
      <c r="C5" s="48" t="s">
        <v>54</v>
      </c>
      <c r="D5" s="48" t="s">
        <v>55</v>
      </c>
      <c r="E5" s="48" t="s">
        <v>56</v>
      </c>
      <c r="F5" s="48" t="s">
        <v>57</v>
      </c>
      <c r="G5" s="48" t="s">
        <v>58</v>
      </c>
    </row>
    <row r="6" spans="1:7" ht="15">
      <c r="B6" s="450"/>
      <c r="C6" s="451"/>
      <c r="D6" s="451"/>
      <c r="E6" s="451"/>
      <c r="F6" s="451"/>
      <c r="G6" s="451"/>
    </row>
    <row r="7" spans="1:7">
      <c r="A7" s="109" t="s">
        <v>74</v>
      </c>
      <c r="D7" s="452"/>
      <c r="E7" s="452"/>
      <c r="F7" s="452"/>
      <c r="G7" s="452"/>
    </row>
    <row r="8" spans="1:7">
      <c r="A8" s="448" t="s">
        <v>395</v>
      </c>
      <c r="C8" s="453">
        <v>1200</v>
      </c>
      <c r="D8" s="453">
        <v>1200</v>
      </c>
      <c r="E8" s="453">
        <v>1200</v>
      </c>
      <c r="F8" s="453">
        <v>1200</v>
      </c>
      <c r="G8" s="453">
        <v>1200</v>
      </c>
    </row>
    <row r="9" spans="1:7">
      <c r="A9" s="448" t="s">
        <v>396</v>
      </c>
      <c r="C9" s="453">
        <v>1200</v>
      </c>
      <c r="D9" s="453">
        <v>1200</v>
      </c>
      <c r="E9" s="453">
        <v>1200</v>
      </c>
      <c r="F9" s="453">
        <v>1200</v>
      </c>
      <c r="G9" s="453">
        <v>1200</v>
      </c>
    </row>
    <row r="10" spans="1:7">
      <c r="A10" s="448" t="s">
        <v>100</v>
      </c>
      <c r="C10" s="453"/>
      <c r="D10" s="453"/>
      <c r="E10" s="453"/>
      <c r="F10" s="453"/>
      <c r="G10" s="453"/>
    </row>
    <row r="11" spans="1:7">
      <c r="A11" s="454" t="s">
        <v>111</v>
      </c>
      <c r="C11" s="455">
        <f>SUM(C8:C10)</f>
        <v>2400</v>
      </c>
      <c r="D11" s="455">
        <f>SUM(D8:D10)</f>
        <v>2400</v>
      </c>
      <c r="E11" s="455">
        <f>SUM(E8:E10)</f>
        <v>2400</v>
      </c>
      <c r="F11" s="455">
        <f>SUM(F8:F10)</f>
        <v>2400</v>
      </c>
      <c r="G11" s="455">
        <f>SUM(G8:G10)</f>
        <v>2400</v>
      </c>
    </row>
    <row r="12" spans="1:7">
      <c r="A12" s="109" t="s">
        <v>59</v>
      </c>
      <c r="C12" s="456"/>
      <c r="D12" s="452"/>
      <c r="E12" s="452"/>
      <c r="F12" s="452"/>
      <c r="G12" s="452"/>
    </row>
    <row r="13" spans="1:7">
      <c r="A13" s="457" t="s">
        <v>122</v>
      </c>
      <c r="C13" s="453">
        <v>5000</v>
      </c>
      <c r="D13" s="453">
        <v>5000</v>
      </c>
      <c r="E13" s="453">
        <v>5000</v>
      </c>
      <c r="F13" s="453">
        <v>5000</v>
      </c>
      <c r="G13" s="453">
        <v>5000</v>
      </c>
    </row>
    <row r="14" spans="1:7">
      <c r="A14" s="457" t="s">
        <v>383</v>
      </c>
      <c r="C14" s="453">
        <v>5000</v>
      </c>
      <c r="D14" s="453">
        <v>2000</v>
      </c>
      <c r="E14" s="453">
        <v>2000</v>
      </c>
      <c r="F14" s="453">
        <v>2000</v>
      </c>
      <c r="G14" s="453">
        <v>2000</v>
      </c>
    </row>
    <row r="15" spans="1:7">
      <c r="A15" s="448" t="s">
        <v>100</v>
      </c>
      <c r="C15" s="453"/>
      <c r="D15" s="453"/>
      <c r="E15" s="453"/>
      <c r="F15" s="453"/>
      <c r="G15" s="453"/>
    </row>
    <row r="16" spans="1:7">
      <c r="A16" s="454" t="s">
        <v>111</v>
      </c>
      <c r="B16" s="456"/>
      <c r="C16" s="458">
        <f>SUM(C13:C15)</f>
        <v>10000</v>
      </c>
      <c r="D16" s="458">
        <f>SUM(D13:D15)</f>
        <v>7000</v>
      </c>
      <c r="E16" s="458">
        <f>SUM(E13:E15)</f>
        <v>7000</v>
      </c>
      <c r="F16" s="458">
        <f>SUM(F13:F15)</f>
        <v>7000</v>
      </c>
      <c r="G16" s="458">
        <f>SUM(G13:G15)</f>
        <v>7000</v>
      </c>
    </row>
    <row r="17" spans="1:7" ht="13" thickBot="1">
      <c r="A17" s="109" t="s">
        <v>162</v>
      </c>
      <c r="B17" s="456"/>
      <c r="C17" s="459">
        <f>C11-C16</f>
        <v>-7600</v>
      </c>
      <c r="D17" s="459">
        <f>D11-D16</f>
        <v>-4600</v>
      </c>
      <c r="E17" s="459">
        <f>E11-E16</f>
        <v>-4600</v>
      </c>
      <c r="F17" s="459">
        <f>F11-F16</f>
        <v>-4600</v>
      </c>
      <c r="G17" s="459">
        <f>G11-G16</f>
        <v>-4600</v>
      </c>
    </row>
    <row r="21" spans="1:7" ht="15">
      <c r="A21" s="22"/>
      <c r="B21" s="22"/>
      <c r="C21" s="22"/>
      <c r="D21" s="213" t="s">
        <v>207</v>
      </c>
      <c r="E21" s="423"/>
      <c r="F21" s="423"/>
      <c r="G21" s="22"/>
    </row>
    <row r="22" spans="1:7" ht="15">
      <c r="A22" s="22"/>
      <c r="B22" s="22"/>
      <c r="C22" s="22"/>
      <c r="D22" s="213" t="s">
        <v>75</v>
      </c>
      <c r="E22" s="423"/>
      <c r="F22" s="423"/>
      <c r="G22" s="22"/>
    </row>
    <row r="23" spans="1:7" ht="15">
      <c r="A23" s="22"/>
      <c r="B23" s="22"/>
      <c r="C23" s="47" t="s">
        <v>54</v>
      </c>
      <c r="D23" s="47" t="s">
        <v>55</v>
      </c>
      <c r="E23" s="47" t="s">
        <v>56</v>
      </c>
      <c r="F23" s="47" t="s">
        <v>57</v>
      </c>
      <c r="G23" s="47" t="s">
        <v>58</v>
      </c>
    </row>
    <row r="24" spans="1:7">
      <c r="A24" s="22" t="s">
        <v>128</v>
      </c>
      <c r="C24" s="453">
        <f>$C$17/12</f>
        <v>-633.33333333333337</v>
      </c>
      <c r="D24" s="453"/>
      <c r="E24" s="453"/>
      <c r="F24" s="453"/>
      <c r="G24" s="453"/>
    </row>
    <row r="25" spans="1:7">
      <c r="A25" s="22" t="s">
        <v>129</v>
      </c>
      <c r="C25" s="453">
        <f t="shared" ref="C25:C38" si="0">$C$17/12</f>
        <v>-633.33333333333337</v>
      </c>
      <c r="D25" s="453"/>
      <c r="E25" s="453"/>
      <c r="F25" s="453"/>
      <c r="G25" s="453"/>
    </row>
    <row r="26" spans="1:7">
      <c r="A26" s="22" t="s">
        <v>130</v>
      </c>
      <c r="C26" s="460">
        <f t="shared" si="0"/>
        <v>-633.33333333333337</v>
      </c>
      <c r="D26" s="460"/>
      <c r="E26" s="460"/>
      <c r="F26" s="460"/>
      <c r="G26" s="460"/>
    </row>
    <row r="27" spans="1:7">
      <c r="A27" s="424" t="s">
        <v>141</v>
      </c>
      <c r="C27" s="453">
        <f>C17/3</f>
        <v>-2533.3333333333335</v>
      </c>
      <c r="D27" s="453">
        <f t="shared" ref="D27:G27" si="1">D17/3</f>
        <v>-1533.3333333333333</v>
      </c>
      <c r="E27" s="453">
        <f t="shared" si="1"/>
        <v>-1533.3333333333333</v>
      </c>
      <c r="F27" s="453">
        <f t="shared" si="1"/>
        <v>-1533.3333333333333</v>
      </c>
      <c r="G27" s="453">
        <f t="shared" si="1"/>
        <v>-1533.3333333333333</v>
      </c>
    </row>
    <row r="28" spans="1:7">
      <c r="A28" s="22" t="s">
        <v>131</v>
      </c>
      <c r="C28" s="453">
        <f t="shared" si="0"/>
        <v>-633.33333333333337</v>
      </c>
      <c r="D28" s="453"/>
      <c r="E28" s="453"/>
      <c r="F28" s="453"/>
      <c r="G28" s="453"/>
    </row>
    <row r="29" spans="1:7">
      <c r="A29" s="22" t="s">
        <v>132</v>
      </c>
      <c r="C29" s="453">
        <f t="shared" si="0"/>
        <v>-633.33333333333337</v>
      </c>
      <c r="D29" s="453"/>
      <c r="E29" s="453"/>
      <c r="F29" s="453"/>
      <c r="G29" s="453"/>
    </row>
    <row r="30" spans="1:7">
      <c r="A30" s="22" t="s">
        <v>133</v>
      </c>
      <c r="C30" s="460">
        <f t="shared" si="0"/>
        <v>-633.33333333333337</v>
      </c>
      <c r="D30" s="460"/>
      <c r="E30" s="460"/>
      <c r="F30" s="460"/>
      <c r="G30" s="460"/>
    </row>
    <row r="31" spans="1:7">
      <c r="A31" s="424" t="s">
        <v>142</v>
      </c>
      <c r="C31" s="453">
        <f>C17/3</f>
        <v>-2533.3333333333335</v>
      </c>
      <c r="D31" s="453">
        <f t="shared" ref="D31:G31" si="2">D17/3</f>
        <v>-1533.3333333333333</v>
      </c>
      <c r="E31" s="453">
        <f t="shared" si="2"/>
        <v>-1533.3333333333333</v>
      </c>
      <c r="F31" s="453">
        <f t="shared" si="2"/>
        <v>-1533.3333333333333</v>
      </c>
      <c r="G31" s="453">
        <f t="shared" si="2"/>
        <v>-1533.3333333333333</v>
      </c>
    </row>
    <row r="32" spans="1:7">
      <c r="A32" s="22" t="s">
        <v>134</v>
      </c>
      <c r="C32" s="453">
        <f t="shared" si="0"/>
        <v>-633.33333333333337</v>
      </c>
      <c r="D32" s="453"/>
      <c r="E32" s="453"/>
      <c r="F32" s="453"/>
      <c r="G32" s="453"/>
    </row>
    <row r="33" spans="1:7">
      <c r="A33" s="22" t="s">
        <v>135</v>
      </c>
      <c r="C33" s="453">
        <f t="shared" si="0"/>
        <v>-633.33333333333337</v>
      </c>
      <c r="D33" s="453"/>
      <c r="E33" s="453"/>
      <c r="F33" s="453"/>
      <c r="G33" s="453"/>
    </row>
    <row r="34" spans="1:7">
      <c r="A34" s="22" t="s">
        <v>136</v>
      </c>
      <c r="C34" s="460">
        <f t="shared" si="0"/>
        <v>-633.33333333333337</v>
      </c>
      <c r="D34" s="460"/>
      <c r="E34" s="460"/>
      <c r="F34" s="460"/>
      <c r="G34" s="460"/>
    </row>
    <row r="35" spans="1:7">
      <c r="A35" s="424" t="s">
        <v>143</v>
      </c>
      <c r="C35" s="453">
        <f>C17/3</f>
        <v>-2533.3333333333335</v>
      </c>
      <c r="D35" s="453">
        <f t="shared" ref="D35:G35" si="3">D17/3</f>
        <v>-1533.3333333333333</v>
      </c>
      <c r="E35" s="453">
        <f t="shared" si="3"/>
        <v>-1533.3333333333333</v>
      </c>
      <c r="F35" s="453">
        <f t="shared" si="3"/>
        <v>-1533.3333333333333</v>
      </c>
      <c r="G35" s="453">
        <f t="shared" si="3"/>
        <v>-1533.3333333333333</v>
      </c>
    </row>
    <row r="36" spans="1:7">
      <c r="A36" s="22" t="s">
        <v>137</v>
      </c>
      <c r="C36" s="453">
        <f t="shared" si="0"/>
        <v>-633.33333333333337</v>
      </c>
      <c r="D36" s="453"/>
      <c r="E36" s="453"/>
      <c r="F36" s="453"/>
      <c r="G36" s="453"/>
    </row>
    <row r="37" spans="1:7">
      <c r="A37" s="22" t="s">
        <v>138</v>
      </c>
      <c r="C37" s="453">
        <f t="shared" si="0"/>
        <v>-633.33333333333337</v>
      </c>
      <c r="D37" s="453"/>
      <c r="E37" s="453"/>
      <c r="F37" s="453"/>
      <c r="G37" s="453"/>
    </row>
    <row r="38" spans="1:7">
      <c r="A38" s="22" t="s">
        <v>139</v>
      </c>
      <c r="C38" s="460">
        <f t="shared" si="0"/>
        <v>-633.33333333333337</v>
      </c>
      <c r="D38" s="460"/>
      <c r="E38" s="460"/>
      <c r="F38" s="460"/>
      <c r="G38" s="460"/>
    </row>
    <row r="39" spans="1:7">
      <c r="A39" s="424" t="s">
        <v>144</v>
      </c>
      <c r="C39" s="453">
        <f>C17/3</f>
        <v>-2533.3333333333335</v>
      </c>
      <c r="D39" s="453">
        <f t="shared" ref="D39:G39" si="4">D17/3</f>
        <v>-1533.3333333333333</v>
      </c>
      <c r="E39" s="453">
        <f t="shared" si="4"/>
        <v>-1533.3333333333333</v>
      </c>
      <c r="F39" s="453">
        <f t="shared" si="4"/>
        <v>-1533.3333333333333</v>
      </c>
      <c r="G39" s="453">
        <f t="shared" si="4"/>
        <v>-1533.3333333333333</v>
      </c>
    </row>
    <row r="40" spans="1:7" ht="13" thickBot="1">
      <c r="A40" s="426" t="s">
        <v>145</v>
      </c>
      <c r="C40" s="461">
        <f>SUM(C39,C35,C31,C27)</f>
        <v>-10133.333333333334</v>
      </c>
      <c r="D40" s="461">
        <f>SUM(D39,D35,D31,D27)</f>
        <v>-6133.333333333333</v>
      </c>
      <c r="E40" s="461">
        <f>SUM(E39,E35,E31,E27)</f>
        <v>-6133.333333333333</v>
      </c>
      <c r="F40" s="461">
        <f>SUM(F39,F35,F31,F27)</f>
        <v>-6133.333333333333</v>
      </c>
      <c r="G40" s="461">
        <f>SUM(G39,G35,G31,G27)</f>
        <v>-6133.333333333333</v>
      </c>
    </row>
  </sheetData>
  <phoneticPr fontId="0" type="noConversion"/>
  <pageMargins left="0.75" right="0.75" top="0.5" bottom="0.5" header="0.5" footer="0.5"/>
  <pageSetup orientation="portrait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L43"/>
  <sheetViews>
    <sheetView zoomScale="75" zoomScaleNormal="75" zoomScalePageLayoutView="75" workbookViewId="0">
      <selection activeCell="I11" sqref="I11"/>
    </sheetView>
  </sheetViews>
  <sheetFormatPr baseColWidth="10" defaultColWidth="8.7109375" defaultRowHeight="13" x14ac:dyDescent="0"/>
  <cols>
    <col min="1" max="1" width="46.85546875" style="8" customWidth="1"/>
    <col min="2" max="2" width="12" style="8" customWidth="1"/>
    <col min="3" max="3" width="12.5703125" style="8" customWidth="1"/>
    <col min="4" max="5" width="10.7109375" style="8" customWidth="1"/>
    <col min="6" max="6" width="12.140625" style="8" customWidth="1"/>
    <col min="7" max="7" width="13.140625" style="8" customWidth="1"/>
    <col min="8" max="8" width="10.42578125" style="8" customWidth="1"/>
    <col min="9" max="9" width="10.7109375" style="8" customWidth="1"/>
    <col min="10" max="16384" width="8.7109375" style="8"/>
  </cols>
  <sheetData>
    <row r="1" spans="1:12" ht="18">
      <c r="A1" s="168" t="str">
        <f>'COST OF REV'!A1</f>
        <v>Aquaponics</v>
      </c>
      <c r="B1" s="196"/>
      <c r="C1" s="196"/>
      <c r="D1" s="196"/>
      <c r="E1" s="196"/>
      <c r="F1" s="196"/>
      <c r="G1" s="196"/>
      <c r="H1" s="7"/>
      <c r="I1" s="7"/>
      <c r="J1" s="7"/>
      <c r="K1" s="7"/>
      <c r="L1" s="7"/>
    </row>
    <row r="2" spans="1:12" s="166" customFormat="1" ht="16">
      <c r="A2" s="163" t="s">
        <v>28</v>
      </c>
      <c r="B2" s="164"/>
      <c r="C2" s="164"/>
      <c r="D2" s="164"/>
      <c r="E2" s="164"/>
      <c r="F2" s="164"/>
      <c r="G2" s="164"/>
      <c r="H2" s="165"/>
      <c r="I2" s="165"/>
      <c r="J2" s="165"/>
      <c r="K2" s="165"/>
      <c r="L2" s="165"/>
    </row>
    <row r="3" spans="1:12" s="166" customFormat="1" ht="16">
      <c r="A3" s="163" t="s">
        <v>53</v>
      </c>
      <c r="B3" s="164"/>
      <c r="C3" s="164"/>
      <c r="D3" s="164"/>
      <c r="E3" s="164"/>
      <c r="F3" s="164"/>
      <c r="G3" s="164"/>
      <c r="H3" s="165"/>
      <c r="I3" s="165"/>
      <c r="J3" s="165"/>
      <c r="K3" s="165"/>
      <c r="L3" s="165"/>
    </row>
    <row r="4" spans="1:12" s="166" customFormat="1" ht="16">
      <c r="A4" s="167" t="s">
        <v>75</v>
      </c>
      <c r="B4" s="164"/>
      <c r="C4" s="164"/>
      <c r="D4" s="164"/>
      <c r="E4" s="164"/>
      <c r="F4" s="164"/>
      <c r="G4" s="164"/>
      <c r="H4" s="165"/>
      <c r="I4" s="165"/>
      <c r="J4" s="165"/>
      <c r="K4" s="165"/>
      <c r="L4" s="165"/>
    </row>
    <row r="5" spans="1:12" ht="15">
      <c r="A5" s="32"/>
      <c r="B5" s="114"/>
      <c r="C5" s="57" t="s">
        <v>54</v>
      </c>
      <c r="D5" s="57" t="s">
        <v>55</v>
      </c>
      <c r="E5" s="57" t="s">
        <v>56</v>
      </c>
      <c r="F5" s="57" t="s">
        <v>57</v>
      </c>
      <c r="G5" s="57" t="s">
        <v>58</v>
      </c>
      <c r="H5" s="7"/>
      <c r="I5" s="7"/>
      <c r="J5" s="7"/>
      <c r="K5" s="7"/>
      <c r="L5" s="7"/>
    </row>
    <row r="6" spans="1:12">
      <c r="A6" s="130" t="s">
        <v>29</v>
      </c>
      <c r="B6" s="32"/>
      <c r="C6" s="115"/>
      <c r="D6" s="115"/>
      <c r="E6" s="115"/>
      <c r="F6" s="115"/>
      <c r="G6" s="115"/>
      <c r="H6" s="7"/>
      <c r="I6" s="7"/>
      <c r="J6" s="7"/>
      <c r="K6" s="7"/>
      <c r="L6" s="7"/>
    </row>
    <row r="7" spans="1:12">
      <c r="A7" s="32" t="s">
        <v>30</v>
      </c>
      <c r="B7" s="115"/>
      <c r="C7" s="116">
        <f>'NET PROFIT'!C33</f>
        <v>165945.53648043028</v>
      </c>
      <c r="D7" s="116">
        <f>'NET PROFIT'!D33</f>
        <v>294774.29090943001</v>
      </c>
      <c r="E7" s="116">
        <f>'NET PROFIT'!E33</f>
        <v>390536.08083243005</v>
      </c>
      <c r="F7" s="116">
        <f>'NET PROFIT'!F33</f>
        <v>411715.35674043023</v>
      </c>
      <c r="G7" s="116">
        <f>'NET PROFIT'!G33</f>
        <v>435536.65503692999</v>
      </c>
      <c r="K7" s="7"/>
      <c r="L7" s="7"/>
    </row>
    <row r="8" spans="1:12">
      <c r="A8" s="32" t="s">
        <v>31</v>
      </c>
      <c r="B8" s="115"/>
      <c r="C8" s="117"/>
      <c r="D8" s="117"/>
      <c r="E8" s="117"/>
      <c r="F8" s="117"/>
      <c r="G8" s="117"/>
      <c r="J8" s="7"/>
      <c r="K8" s="7"/>
      <c r="L8" s="7"/>
    </row>
    <row r="9" spans="1:12">
      <c r="A9" s="118" t="s">
        <v>86</v>
      </c>
      <c r="B9" s="115"/>
      <c r="C9" s="119">
        <f>WORKCAP!C13</f>
        <v>-121143.42016931614</v>
      </c>
      <c r="D9" s="119">
        <f>WORKCAP!D13</f>
        <v>28285.577084558696</v>
      </c>
      <c r="E9" s="119">
        <f>WORKCAP!E13</f>
        <v>-10538.479897559984</v>
      </c>
      <c r="F9" s="119">
        <f>WORKCAP!F13</f>
        <v>4446.2535878451745</v>
      </c>
      <c r="G9" s="119">
        <f>WORKCAP!G13</f>
        <v>-13694.461321303752</v>
      </c>
      <c r="J9" s="7"/>
      <c r="K9" s="7"/>
      <c r="L9" s="7"/>
    </row>
    <row r="10" spans="1:12">
      <c r="A10" s="597" t="s">
        <v>448</v>
      </c>
      <c r="B10" s="115"/>
      <c r="C10" s="119">
        <f>-WORKCAP!C19</f>
        <v>-14595.592791483872</v>
      </c>
      <c r="D10" s="119">
        <f>-WORKCAP!D19</f>
        <v>-11187.691937922584</v>
      </c>
      <c r="E10" s="119">
        <f>-WORKCAP!E19</f>
        <v>-12457.388311122582</v>
      </c>
      <c r="F10" s="119">
        <f>-WORKCAP!F19</f>
        <v>-11921.695107767744</v>
      </c>
      <c r="G10" s="119">
        <f>-WORKCAP!G19</f>
        <v>-13571.630206720001</v>
      </c>
      <c r="J10" s="7"/>
      <c r="K10" s="7"/>
      <c r="L10" s="7"/>
    </row>
    <row r="11" spans="1:12">
      <c r="A11" s="118" t="s">
        <v>95</v>
      </c>
      <c r="B11" s="115"/>
      <c r="C11" s="116">
        <f>WORKCAP!C26</f>
        <v>60571.710084658072</v>
      </c>
      <c r="D11" s="116">
        <f>WORKCAP!D26</f>
        <v>-13583.40394538323</v>
      </c>
      <c r="E11" s="116">
        <f>WORKCAP!E26</f>
        <v>5332.7247674399987</v>
      </c>
      <c r="F11" s="116">
        <f>WORKCAP!F26</f>
        <v>-2249.9114540903247</v>
      </c>
      <c r="G11" s="116">
        <f>WORKCAP!G26</f>
        <v>6929.7274155994892</v>
      </c>
      <c r="J11" s="7"/>
      <c r="K11" s="7"/>
      <c r="L11" s="7"/>
    </row>
    <row r="12" spans="1:12">
      <c r="A12" s="118" t="s">
        <v>164</v>
      </c>
      <c r="B12" s="115"/>
      <c r="C12" s="122">
        <f>SUM(C7:C11)</f>
        <v>90778.23360428834</v>
      </c>
      <c r="D12" s="122">
        <f>SUM(D7:D11)</f>
        <v>298288.77211068291</v>
      </c>
      <c r="E12" s="122">
        <f>SUM(E7:E11)</f>
        <v>372872.93739118747</v>
      </c>
      <c r="F12" s="122">
        <f>SUM(F7:F11)</f>
        <v>401990.00376641733</v>
      </c>
      <c r="G12" s="122">
        <f>SUM(G7:G11)</f>
        <v>415200.2909245058</v>
      </c>
      <c r="J12" s="7"/>
      <c r="K12" s="7"/>
      <c r="L12" s="7"/>
    </row>
    <row r="13" spans="1:12">
      <c r="A13" s="32"/>
      <c r="B13" s="115"/>
      <c r="C13" s="117"/>
      <c r="D13" s="117"/>
      <c r="E13" s="117"/>
      <c r="F13" s="117"/>
      <c r="G13" s="117"/>
      <c r="J13" s="7"/>
      <c r="K13" s="7"/>
      <c r="L13" s="7"/>
    </row>
    <row r="14" spans="1:12">
      <c r="A14" s="130" t="s">
        <v>32</v>
      </c>
      <c r="B14" s="115"/>
      <c r="C14" s="117"/>
      <c r="D14" s="117"/>
      <c r="E14" s="117"/>
      <c r="F14" s="117"/>
      <c r="G14" s="117"/>
      <c r="J14" s="7"/>
      <c r="K14" s="7"/>
      <c r="L14" s="7"/>
    </row>
    <row r="15" spans="1:12">
      <c r="A15" s="32" t="s">
        <v>160</v>
      </c>
      <c r="B15" s="115"/>
      <c r="C15" s="116">
        <f>-'PROP &amp; EQUIP'!C20</f>
        <v>-166000</v>
      </c>
      <c r="D15" s="116">
        <f>-'PROP &amp; EQUIP'!D20</f>
        <v>-11000</v>
      </c>
      <c r="E15" s="116">
        <f>-'PROP &amp; EQUIP'!E20</f>
        <v>-14000</v>
      </c>
      <c r="F15" s="116">
        <f>-'PROP &amp; EQUIP'!F20</f>
        <v>-11000</v>
      </c>
      <c r="G15" s="116">
        <f>-'PROP &amp; EQUIP'!G20</f>
        <v>-16000</v>
      </c>
      <c r="J15" s="7"/>
      <c r="K15" s="7"/>
      <c r="L15" s="7"/>
    </row>
    <row r="16" spans="1:12">
      <c r="A16" s="123" t="s">
        <v>88</v>
      </c>
      <c r="B16" s="115"/>
      <c r="C16" s="124"/>
      <c r="D16" s="124"/>
      <c r="E16" s="124"/>
      <c r="F16" s="124"/>
      <c r="G16" s="124"/>
      <c r="J16" s="7"/>
      <c r="K16" s="7"/>
      <c r="L16" s="7"/>
    </row>
    <row r="17" spans="1:12">
      <c r="A17" s="118" t="s">
        <v>33</v>
      </c>
      <c r="B17" s="115"/>
      <c r="C17" s="122">
        <f>SUM(C15:C16)</f>
        <v>-166000</v>
      </c>
      <c r="D17" s="122">
        <f>SUM(D15:D16)</f>
        <v>-11000</v>
      </c>
      <c r="E17" s="122">
        <f>SUM(E15:E16)</f>
        <v>-14000</v>
      </c>
      <c r="F17" s="122">
        <f>SUM(F15:F16)</f>
        <v>-11000</v>
      </c>
      <c r="G17" s="122">
        <f>SUM(G15:G16)</f>
        <v>-16000</v>
      </c>
      <c r="J17" s="7"/>
      <c r="K17" s="7"/>
      <c r="L17" s="7"/>
    </row>
    <row r="18" spans="1:12">
      <c r="A18" s="32"/>
      <c r="B18" s="115"/>
      <c r="C18" s="117"/>
      <c r="D18" s="117"/>
      <c r="E18" s="117"/>
      <c r="F18" s="117"/>
      <c r="G18" s="117"/>
      <c r="J18" s="7"/>
      <c r="K18" s="7"/>
      <c r="L18" s="7"/>
    </row>
    <row r="19" spans="1:12">
      <c r="A19" s="130" t="s">
        <v>34</v>
      </c>
      <c r="B19" s="115"/>
      <c r="C19" s="116"/>
      <c r="D19" s="116"/>
      <c r="E19" s="116"/>
      <c r="F19" s="116"/>
      <c r="G19" s="116"/>
      <c r="J19" s="7"/>
      <c r="K19" s="7"/>
      <c r="L19" s="7"/>
    </row>
    <row r="20" spans="1:12">
      <c r="A20" s="32" t="s">
        <v>35</v>
      </c>
      <c r="B20" s="115"/>
      <c r="C20" s="116">
        <f>FUNDING!C19</f>
        <v>0</v>
      </c>
      <c r="D20" s="116">
        <f>FUNDING!D19</f>
        <v>0</v>
      </c>
      <c r="E20" s="116">
        <f>FUNDING!E19</f>
        <v>0</v>
      </c>
      <c r="F20" s="116">
        <f>FUNDING!F19</f>
        <v>0</v>
      </c>
      <c r="G20" s="116">
        <f>FUNDING!G19</f>
        <v>0</v>
      </c>
      <c r="J20" s="7"/>
      <c r="K20" s="7"/>
      <c r="L20" s="7"/>
    </row>
    <row r="21" spans="1:12">
      <c r="A21" s="32" t="s">
        <v>36</v>
      </c>
      <c r="B21" s="115"/>
      <c r="C21" s="116">
        <f>FUNDING!C27</f>
        <v>0</v>
      </c>
      <c r="D21" s="116">
        <f>FUNDING!D27</f>
        <v>0</v>
      </c>
      <c r="E21" s="116">
        <f>FUNDING!E27</f>
        <v>0</v>
      </c>
      <c r="F21" s="116">
        <f>FUNDING!F27</f>
        <v>0</v>
      </c>
      <c r="G21" s="116">
        <f>FUNDING!G27</f>
        <v>0</v>
      </c>
      <c r="J21" s="7"/>
      <c r="K21" s="7"/>
      <c r="L21" s="7"/>
    </row>
    <row r="22" spans="1:12">
      <c r="A22" s="32" t="s">
        <v>61</v>
      </c>
      <c r="B22" s="115"/>
      <c r="C22" s="116">
        <f>FUNDING!C28</f>
        <v>0</v>
      </c>
      <c r="D22" s="116">
        <f>FUNDING!D28</f>
        <v>0</v>
      </c>
      <c r="E22" s="116">
        <f>FUNDING!E28</f>
        <v>0</v>
      </c>
      <c r="F22" s="116">
        <f>FUNDING!F28</f>
        <v>0</v>
      </c>
      <c r="G22" s="116">
        <f>FUNDING!G28</f>
        <v>0</v>
      </c>
      <c r="J22" s="7"/>
      <c r="K22" s="7"/>
      <c r="L22" s="7"/>
    </row>
    <row r="23" spans="1:12">
      <c r="A23" s="32" t="s">
        <v>37</v>
      </c>
      <c r="B23" s="115"/>
      <c r="C23" s="116">
        <f>FUNDING!C9</f>
        <v>0</v>
      </c>
      <c r="D23" s="116">
        <f>FUNDING!D9</f>
        <v>0</v>
      </c>
      <c r="E23" s="116">
        <f>FUNDING!E9</f>
        <v>0</v>
      </c>
      <c r="F23" s="116">
        <f>FUNDING!F9</f>
        <v>0</v>
      </c>
      <c r="G23" s="116">
        <f>FUNDING!G9</f>
        <v>0</v>
      </c>
      <c r="J23" s="7"/>
      <c r="K23" s="7"/>
      <c r="L23" s="7"/>
    </row>
    <row r="24" spans="1:12">
      <c r="A24" s="32" t="s">
        <v>38</v>
      </c>
      <c r="B24" s="115"/>
      <c r="C24" s="116">
        <f>FUNDING!C14</f>
        <v>0</v>
      </c>
      <c r="D24" s="116">
        <f>FUNDING!D14</f>
        <v>0</v>
      </c>
      <c r="E24" s="116">
        <f>FUNDING!E14</f>
        <v>0</v>
      </c>
      <c r="F24" s="116">
        <f>FUNDING!F14</f>
        <v>0</v>
      </c>
      <c r="G24" s="116">
        <f>FUNDING!G14</f>
        <v>0</v>
      </c>
      <c r="J24" s="7"/>
      <c r="K24" s="7"/>
      <c r="L24" s="7"/>
    </row>
    <row r="25" spans="1:12">
      <c r="A25" s="32" t="s">
        <v>39</v>
      </c>
      <c r="B25" s="120"/>
      <c r="C25" s="124">
        <f>-FUNDING!C49</f>
        <v>0</v>
      </c>
      <c r="D25" s="124">
        <f>-FUNDING!D49</f>
        <v>0</v>
      </c>
      <c r="E25" s="124">
        <f>-FUNDING!E49</f>
        <v>0</v>
      </c>
      <c r="F25" s="124">
        <f>-FUNDING!F49</f>
        <v>0</v>
      </c>
      <c r="G25" s="124">
        <f>-FUNDING!G49</f>
        <v>0</v>
      </c>
      <c r="J25" s="7"/>
      <c r="K25" s="7"/>
      <c r="L25" s="7"/>
    </row>
    <row r="26" spans="1:12">
      <c r="A26" s="118" t="s">
        <v>40</v>
      </c>
      <c r="B26" s="120"/>
      <c r="C26" s="122">
        <f>SUM(C20:C25)</f>
        <v>0</v>
      </c>
      <c r="D26" s="122">
        <f>SUM(D20:D25)</f>
        <v>0</v>
      </c>
      <c r="E26" s="122">
        <f>SUM(E20:E25)</f>
        <v>0</v>
      </c>
      <c r="F26" s="122">
        <f>SUM(F20:F25)</f>
        <v>0</v>
      </c>
      <c r="G26" s="122">
        <f>SUM(G20:G25)</f>
        <v>0</v>
      </c>
      <c r="J26" s="7"/>
      <c r="K26" s="7"/>
      <c r="L26" s="7"/>
    </row>
    <row r="27" spans="1:12">
      <c r="A27" s="32"/>
      <c r="B27" s="120"/>
      <c r="C27" s="121"/>
      <c r="D27" s="121"/>
      <c r="E27" s="121"/>
      <c r="F27" s="121"/>
      <c r="G27" s="121"/>
      <c r="J27" s="7"/>
      <c r="K27" s="7"/>
      <c r="L27" s="7"/>
    </row>
    <row r="28" spans="1:12">
      <c r="A28" s="130" t="s">
        <v>85</v>
      </c>
      <c r="B28" s="120"/>
      <c r="C28" s="125">
        <f>C12+C17+C26</f>
        <v>-75221.76639571166</v>
      </c>
      <c r="D28" s="125">
        <f>D12+D17+D26</f>
        <v>287288.77211068291</v>
      </c>
      <c r="E28" s="125">
        <f>E12+E17+E26</f>
        <v>358872.93739118747</v>
      </c>
      <c r="F28" s="125">
        <f>F12+F17+F26</f>
        <v>390990.00376641733</v>
      </c>
      <c r="G28" s="125">
        <f>G12+G17+G26</f>
        <v>399200.2909245058</v>
      </c>
      <c r="J28" s="7"/>
      <c r="K28" s="7"/>
      <c r="L28" s="7"/>
    </row>
    <row r="29" spans="1:12">
      <c r="A29" s="32"/>
      <c r="B29" s="115"/>
      <c r="C29" s="117"/>
      <c r="D29" s="117"/>
      <c r="E29" s="117"/>
      <c r="F29" s="117"/>
      <c r="G29" s="117"/>
      <c r="J29" s="7"/>
      <c r="K29" s="7"/>
      <c r="L29" s="7"/>
    </row>
    <row r="30" spans="1:12">
      <c r="A30" s="130" t="s">
        <v>84</v>
      </c>
      <c r="B30" s="115"/>
      <c r="C30" s="122">
        <f>B31</f>
        <v>1000000</v>
      </c>
      <c r="D30" s="122">
        <f>C31</f>
        <v>924778.23360428831</v>
      </c>
      <c r="E30" s="122">
        <f>D31</f>
        <v>1212067.0057149711</v>
      </c>
      <c r="F30" s="122">
        <f>E31</f>
        <v>1570939.9431061586</v>
      </c>
      <c r="G30" s="122">
        <f>F31</f>
        <v>1961929.9468725759</v>
      </c>
      <c r="J30" s="7"/>
      <c r="K30" s="7"/>
      <c r="L30" s="7"/>
    </row>
    <row r="31" spans="1:12">
      <c r="A31" s="130" t="s">
        <v>41</v>
      </c>
      <c r="B31" s="41">
        <f>'BALANCE SHEET'!B9</f>
        <v>1000000</v>
      </c>
      <c r="C31" s="63">
        <f>C30+C28</f>
        <v>924778.23360428831</v>
      </c>
      <c r="D31" s="63">
        <f>D30+D28</f>
        <v>1212067.0057149711</v>
      </c>
      <c r="E31" s="63">
        <f>E30+E28</f>
        <v>1570939.9431061586</v>
      </c>
      <c r="F31" s="63">
        <f>F30+F28</f>
        <v>1961929.9468725759</v>
      </c>
      <c r="G31" s="63">
        <f>G30+G28</f>
        <v>2361130.2377970815</v>
      </c>
      <c r="J31" s="7"/>
      <c r="K31" s="7"/>
      <c r="L31" s="7"/>
    </row>
    <row r="32" spans="1:12">
      <c r="J32" s="7"/>
      <c r="K32" s="7"/>
      <c r="L32" s="7"/>
    </row>
    <row r="33" spans="1:12">
      <c r="A33" s="7"/>
      <c r="B33" s="7"/>
      <c r="J33" s="7"/>
      <c r="K33" s="7"/>
      <c r="L33" s="7"/>
    </row>
    <row r="34" spans="1:12">
      <c r="A34" s="7"/>
      <c r="B34" s="7"/>
      <c r="J34" s="7"/>
      <c r="K34" s="7"/>
      <c r="L34" s="7"/>
    </row>
    <row r="35" spans="1:12">
      <c r="A35" s="7"/>
      <c r="B35" s="7"/>
      <c r="C35" s="7"/>
      <c r="D35" s="7"/>
      <c r="E35" s="7"/>
      <c r="F35" s="7"/>
      <c r="G35" s="7"/>
      <c r="J35" s="7"/>
      <c r="K35" s="7"/>
      <c r="L35" s="7"/>
    </row>
    <row r="36" spans="1:12">
      <c r="B36" s="7"/>
      <c r="C36" s="7"/>
      <c r="D36" s="7"/>
      <c r="E36" s="7"/>
      <c r="F36" s="7"/>
      <c r="G36" s="7"/>
      <c r="J36" s="7"/>
      <c r="K36" s="7"/>
      <c r="L36" s="7"/>
    </row>
    <row r="37" spans="1:12">
      <c r="B37" s="7"/>
      <c r="C37" s="7"/>
      <c r="D37" s="7"/>
      <c r="E37" s="7"/>
      <c r="F37" s="7"/>
      <c r="G37" s="7"/>
      <c r="J37" s="7"/>
      <c r="K37" s="7"/>
      <c r="L37" s="7"/>
    </row>
    <row r="38" spans="1:12">
      <c r="H38" s="7"/>
      <c r="I38" s="7"/>
      <c r="J38" s="7"/>
      <c r="K38" s="7"/>
      <c r="L38" s="7"/>
    </row>
    <row r="39" spans="1:12">
      <c r="H39" s="7"/>
      <c r="I39" s="7"/>
      <c r="J39" s="7"/>
      <c r="K39" s="7"/>
      <c r="L39" s="7"/>
    </row>
    <row r="40" spans="1:12">
      <c r="H40" s="7"/>
      <c r="I40" s="7"/>
      <c r="J40" s="7"/>
      <c r="K40" s="7"/>
      <c r="L40" s="7"/>
    </row>
    <row r="43" spans="1:12">
      <c r="H43" s="32"/>
    </row>
  </sheetData>
  <phoneticPr fontId="0" type="noConversion"/>
  <pageMargins left="0.75" right="0.75" top="0.5" bottom="0.5" header="0.5" footer="0.5"/>
  <pageSetup orientation="landscape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 enableFormatConditionsCalculation="0">
    <pageSetUpPr fitToPage="1"/>
  </sheetPr>
  <dimension ref="A1:T172"/>
  <sheetViews>
    <sheetView view="pageBreakPreview" topLeftCell="A61" zoomScaleSheetLayoutView="55" workbookViewId="0">
      <selection activeCell="C97" sqref="C97"/>
    </sheetView>
  </sheetViews>
  <sheetFormatPr baseColWidth="10" defaultColWidth="8.7109375" defaultRowHeight="13" x14ac:dyDescent="0"/>
  <cols>
    <col min="1" max="1" width="48" style="2" customWidth="1"/>
    <col min="2" max="2" width="3.28515625" style="2" hidden="1" customWidth="1"/>
    <col min="3" max="4" width="12.28515625" style="2" customWidth="1"/>
    <col min="5" max="8" width="12" style="2" customWidth="1"/>
    <col min="9" max="9" width="11.5703125" style="2" customWidth="1"/>
    <col min="10" max="10" width="10.85546875" style="2" customWidth="1"/>
    <col min="11" max="11" width="11.5703125" style="2" customWidth="1"/>
    <col min="12" max="12" width="12.42578125" style="2" customWidth="1"/>
    <col min="13" max="14" width="11.28515625" style="2" customWidth="1"/>
    <col min="15" max="15" width="12.85546875" style="2" customWidth="1"/>
    <col min="16" max="16" width="12" style="2" customWidth="1"/>
    <col min="17" max="17" width="11.28515625" style="2" customWidth="1"/>
    <col min="18" max="20" width="13.7109375" style="2" bestFit="1" customWidth="1"/>
    <col min="21" max="16384" width="8.7109375" style="2"/>
  </cols>
  <sheetData>
    <row r="1" spans="1:16" ht="18">
      <c r="A1" s="156" t="str">
        <f>'PROP &amp; EQUIP'!A1</f>
        <v>AQUAPONICS FARMING</v>
      </c>
      <c r="B1" s="157"/>
    </row>
    <row r="2" spans="1:16" s="154" customFormat="1" ht="16">
      <c r="A2" s="151" t="s">
        <v>175</v>
      </c>
      <c r="B2" s="152"/>
    </row>
    <row r="3" spans="1:16" s="154" customFormat="1" ht="16">
      <c r="A3" s="229" t="s">
        <v>176</v>
      </c>
      <c r="B3" s="152"/>
    </row>
    <row r="4" spans="1:16" s="154" customFormat="1" ht="16">
      <c r="A4" s="155" t="s">
        <v>75</v>
      </c>
      <c r="B4" s="152"/>
    </row>
    <row r="5" spans="1:16" ht="16">
      <c r="A5" s="155"/>
      <c r="B5" s="152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</row>
    <row r="6" spans="1:16" ht="18">
      <c r="A6" s="237" t="str">
        <f>A1</f>
        <v>AQUAPONICS FARMING</v>
      </c>
      <c r="B6" s="152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</row>
    <row r="7" spans="1:16" ht="16">
      <c r="A7" s="155" t="s">
        <v>5</v>
      </c>
      <c r="B7" s="152"/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203"/>
      <c r="P7" s="232" t="s">
        <v>54</v>
      </c>
    </row>
    <row r="8" spans="1:16" ht="16">
      <c r="A8" s="151" t="s">
        <v>126</v>
      </c>
      <c r="B8" s="152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232" t="s">
        <v>140</v>
      </c>
      <c r="P8" s="232" t="s">
        <v>174</v>
      </c>
    </row>
    <row r="9" spans="1:16" ht="15">
      <c r="B9" s="81"/>
      <c r="C9" s="236" t="s">
        <v>128</v>
      </c>
      <c r="D9" s="236" t="s">
        <v>129</v>
      </c>
      <c r="E9" s="236" t="s">
        <v>130</v>
      </c>
      <c r="F9" s="236" t="s">
        <v>131</v>
      </c>
      <c r="G9" s="236" t="s">
        <v>132</v>
      </c>
      <c r="H9" s="236" t="s">
        <v>133</v>
      </c>
      <c r="I9" s="236" t="s">
        <v>134</v>
      </c>
      <c r="J9" s="236" t="s">
        <v>135</v>
      </c>
      <c r="K9" s="236" t="s">
        <v>136</v>
      </c>
      <c r="L9" s="236" t="s">
        <v>137</v>
      </c>
      <c r="M9" s="236" t="s">
        <v>138</v>
      </c>
      <c r="N9" s="236" t="s">
        <v>139</v>
      </c>
      <c r="O9" s="236" t="s">
        <v>186</v>
      </c>
      <c r="P9" s="236" t="s">
        <v>187</v>
      </c>
    </row>
    <row r="10" spans="1:16" ht="15">
      <c r="A10" s="37"/>
      <c r="B10" s="81"/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</row>
    <row r="11" spans="1:16">
      <c r="A11" s="42" t="s">
        <v>119</v>
      </c>
      <c r="B11" s="83"/>
      <c r="C11" s="87">
        <f>REVENUE!C24</f>
        <v>0</v>
      </c>
      <c r="D11" s="87">
        <f>REVENUE!C25</f>
        <v>0</v>
      </c>
      <c r="E11" s="87">
        <f>REVENUE!C26</f>
        <v>0</v>
      </c>
      <c r="F11" s="87">
        <f>REVENUE!C28</f>
        <v>40543.313309677425</v>
      </c>
      <c r="G11" s="87">
        <f>REVENUE!C29</f>
        <v>64869.301295483878</v>
      </c>
      <c r="H11" s="87">
        <f>REVENUE!C30</f>
        <v>81086.626619354851</v>
      </c>
      <c r="I11" s="87">
        <f>REVENUE!C32</f>
        <v>81086.626619354851</v>
      </c>
      <c r="J11" s="87">
        <f>REVENUE!C33</f>
        <v>97303.951943225809</v>
      </c>
      <c r="K11" s="87">
        <f>REVENUE!C34</f>
        <v>121629.93992903226</v>
      </c>
      <c r="L11" s="87">
        <f>REVENUE!C36</f>
        <v>97303.951943225809</v>
      </c>
      <c r="M11" s="87">
        <f>REVENUE!C37</f>
        <v>105412.6146051613</v>
      </c>
      <c r="N11" s="87">
        <f>REVENUE!C38</f>
        <v>121629.93992903226</v>
      </c>
      <c r="O11" s="190">
        <f>SUM(C11:N11)</f>
        <v>810866.26619354845</v>
      </c>
      <c r="P11" s="87">
        <f>'NET PROFIT'!C7</f>
        <v>810866.26619354845</v>
      </c>
    </row>
    <row r="12" spans="1:16">
      <c r="A12" s="37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7"/>
    </row>
    <row r="13" spans="1:16">
      <c r="A13" s="42" t="s">
        <v>163</v>
      </c>
      <c r="B13" s="26"/>
      <c r="C13" s="85">
        <f>'COST OF REV'!$C$31*'INCOME-MOS'!C11</f>
        <v>0</v>
      </c>
      <c r="D13" s="85">
        <f>'COST OF REV'!$C$31*'INCOME-MOS'!D11</f>
        <v>0</v>
      </c>
      <c r="E13" s="85">
        <f>'COST OF REV'!$C$31*'INCOME-MOS'!E11</f>
        <v>0</v>
      </c>
      <c r="F13" s="85">
        <f>'COST OF REV'!$C$31*'INCOME-MOS'!F11</f>
        <v>5544.7262750322589</v>
      </c>
      <c r="G13" s="85">
        <f>'COST OF REV'!$C$31*'INCOME-MOS'!G11</f>
        <v>8871.5620400516145</v>
      </c>
      <c r="H13" s="85">
        <f>'COST OF REV'!$C$31*'INCOME-MOS'!H11</f>
        <v>11089.452550064518</v>
      </c>
      <c r="I13" s="85">
        <f>'COST OF REV'!$C$31*'INCOME-MOS'!I11</f>
        <v>11089.452550064518</v>
      </c>
      <c r="J13" s="85">
        <f>'COST OF REV'!$C$31*'INCOME-MOS'!J11</f>
        <v>13307.343060077419</v>
      </c>
      <c r="K13" s="85">
        <f>'COST OF REV'!$C$31*'INCOME-MOS'!K11</f>
        <v>16634.178825096777</v>
      </c>
      <c r="L13" s="85">
        <f>'COST OF REV'!$C$31*'INCOME-MOS'!L11</f>
        <v>13307.343060077419</v>
      </c>
      <c r="M13" s="85">
        <f>'COST OF REV'!$C$31*'INCOME-MOS'!M11</f>
        <v>14416.288315083873</v>
      </c>
      <c r="N13" s="85">
        <f>'COST OF REV'!$C$31*'INCOME-MOS'!N11</f>
        <v>16634.178825096777</v>
      </c>
      <c r="O13" s="205">
        <f>SUM(C13:N13)</f>
        <v>110894.52550064518</v>
      </c>
      <c r="P13" s="85">
        <f>'COST OF REV'!C30</f>
        <v>110894.52550064518</v>
      </c>
    </row>
    <row r="14" spans="1:16">
      <c r="A14" s="37"/>
      <c r="B14" s="26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256"/>
    </row>
    <row r="15" spans="1:16">
      <c r="A15" s="42" t="s">
        <v>120</v>
      </c>
      <c r="B15" s="83"/>
      <c r="C15" s="190">
        <f>C11-C13</f>
        <v>0</v>
      </c>
      <c r="D15" s="190">
        <f>D11-D13</f>
        <v>0</v>
      </c>
      <c r="E15" s="190">
        <f t="shared" ref="E15:N15" si="0">E11-E13</f>
        <v>0</v>
      </c>
      <c r="F15" s="190">
        <f t="shared" si="0"/>
        <v>34998.58703464517</v>
      </c>
      <c r="G15" s="190">
        <f t="shared" si="0"/>
        <v>55997.739255432265</v>
      </c>
      <c r="H15" s="190">
        <f t="shared" si="0"/>
        <v>69997.17406929034</v>
      </c>
      <c r="I15" s="190">
        <f t="shared" si="0"/>
        <v>69997.17406929034</v>
      </c>
      <c r="J15" s="190">
        <f t="shared" si="0"/>
        <v>83996.608883148394</v>
      </c>
      <c r="K15" s="190">
        <f t="shared" si="0"/>
        <v>104995.76110393548</v>
      </c>
      <c r="L15" s="190">
        <f t="shared" si="0"/>
        <v>83996.608883148394</v>
      </c>
      <c r="M15" s="190">
        <f t="shared" si="0"/>
        <v>90996.326290077428</v>
      </c>
      <c r="N15" s="190">
        <f t="shared" si="0"/>
        <v>104995.76110393548</v>
      </c>
      <c r="O15" s="190">
        <f>SUM(C15:N15)</f>
        <v>699971.74069290329</v>
      </c>
      <c r="P15" s="87">
        <f>'NET PROFIT'!C12</f>
        <v>699971.74069290329</v>
      </c>
    </row>
    <row r="16" spans="1:16">
      <c r="A16" s="37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7"/>
    </row>
    <row r="17" spans="1:16">
      <c r="A17" s="42" t="s">
        <v>7</v>
      </c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7"/>
    </row>
    <row r="18" spans="1:16">
      <c r="A18" s="37" t="s">
        <v>73</v>
      </c>
      <c r="B18" s="83"/>
      <c r="C18" s="87">
        <f>'OPER EXP'!$C$16*REVENUE!$C$24</f>
        <v>0</v>
      </c>
      <c r="D18" s="87">
        <f>'OPER EXP'!$C$16*REVENUE!$C$25</f>
        <v>0</v>
      </c>
      <c r="E18" s="87">
        <f>'OPER EXP'!$C$16*REVENUE!$C$26</f>
        <v>0</v>
      </c>
      <c r="F18" s="87">
        <f>'OPER EXP'!$C$16*REVENUE!$C$28</f>
        <v>5640.8662661935487</v>
      </c>
      <c r="G18" s="87">
        <f>'OPER EXP'!$C$16*REVENUE!$C$29</f>
        <v>9025.3860259096782</v>
      </c>
      <c r="H18" s="87">
        <f>'OPER EXP'!$C$16*REVENUE!$C$30</f>
        <v>11281.732532387097</v>
      </c>
      <c r="I18" s="87">
        <f>'OPER EXP'!$C$16*REVENUE!$C$32</f>
        <v>11281.732532387097</v>
      </c>
      <c r="J18" s="87">
        <f>'OPER EXP'!$C$16*REVENUE!$C$33</f>
        <v>13538.079038864515</v>
      </c>
      <c r="K18" s="87">
        <f>'OPER EXP'!$C$16*REVENUE!$C$34</f>
        <v>16922.598798580642</v>
      </c>
      <c r="L18" s="87">
        <f>'OPER EXP'!$C$16*REVENUE!$C$36</f>
        <v>13538.079038864515</v>
      </c>
      <c r="M18" s="87">
        <f>'OPER EXP'!$C$16*REVENUE!$C$37</f>
        <v>14666.252292103225</v>
      </c>
      <c r="N18" s="87">
        <f>'OPER EXP'!$C$16*REVENUE!$C$38</f>
        <v>16922.598798580642</v>
      </c>
      <c r="O18" s="190">
        <f>SUM(C18:N18)</f>
        <v>112817.32532387096</v>
      </c>
      <c r="P18" s="87">
        <f>'OPER EXP'!C15</f>
        <v>112817.32532387096</v>
      </c>
    </row>
    <row r="19" spans="1:16">
      <c r="A19" s="588" t="s">
        <v>408</v>
      </c>
      <c r="B19" s="83"/>
      <c r="C19" s="87">
        <f>'OPER EXP'!$C$23*REVENUE!$C24</f>
        <v>0</v>
      </c>
      <c r="D19" s="87">
        <f>'OPER EXP'!$C$23*REVENUE!$C25</f>
        <v>0</v>
      </c>
      <c r="E19" s="87">
        <f>'OPER EXP'!$C$23*REVENUE!$C26</f>
        <v>0</v>
      </c>
      <c r="F19" s="87">
        <f>'OPER EXP'!$C$23*REVENUE!$C28</f>
        <v>6015.4331330967752</v>
      </c>
      <c r="G19" s="87">
        <f>'OPER EXP'!$C$23*REVENUE!$C29</f>
        <v>9624.69301295484</v>
      </c>
      <c r="H19" s="87">
        <f>'OPER EXP'!$C$23*REVENUE!$C30</f>
        <v>12030.86626619355</v>
      </c>
      <c r="I19" s="87">
        <f>'OPER EXP'!$C$23*REVENUE!$C32</f>
        <v>12030.86626619355</v>
      </c>
      <c r="J19" s="87">
        <f>'OPER EXP'!$C$23*REVENUE!$C33</f>
        <v>14437.039519432257</v>
      </c>
      <c r="K19" s="87">
        <f>'OPER EXP'!$C$23*REVENUE!$C34</f>
        <v>18046.299399290321</v>
      </c>
      <c r="L19" s="87">
        <f>'OPER EXP'!$C$23*REVENUE!$C36</f>
        <v>14437.039519432257</v>
      </c>
      <c r="M19" s="87">
        <f>'OPER EXP'!$C$23*REVENUE!$C37</f>
        <v>15640.126146051614</v>
      </c>
      <c r="N19" s="87">
        <f>'OPER EXP'!$C$23*REVENUE!$C38</f>
        <v>18046.299399290321</v>
      </c>
      <c r="O19" s="190">
        <f t="shared" ref="O19:O23" si="1">SUM(C19:N19)</f>
        <v>120308.66266193548</v>
      </c>
      <c r="P19" s="87">
        <f>'OPER EXP'!C22</f>
        <v>120308.66266193548</v>
      </c>
    </row>
    <row r="20" spans="1:16">
      <c r="A20" s="588" t="s">
        <v>407</v>
      </c>
      <c r="B20" s="83"/>
      <c r="C20" s="87">
        <f>'OPER EXP'!$C$30*REVENUE!$C24</f>
        <v>0</v>
      </c>
      <c r="D20" s="87">
        <f>'OPER EXP'!$C$30*REVENUE!$C25</f>
        <v>0</v>
      </c>
      <c r="E20" s="87">
        <f>'OPER EXP'!$C$30*REVENUE!$C26</f>
        <v>0</v>
      </c>
      <c r="F20" s="87">
        <f>'OPER EXP'!$C$30*REVENUE!$C28</f>
        <v>7800.4331330967743</v>
      </c>
      <c r="G20" s="87">
        <f>'OPER EXP'!$C$30*REVENUE!$C29</f>
        <v>12480.693012954838</v>
      </c>
      <c r="H20" s="87">
        <f>'OPER EXP'!$C$30*REVENUE!$C30</f>
        <v>15600.866266193549</v>
      </c>
      <c r="I20" s="87">
        <f>'OPER EXP'!$C$30*REVENUE!$C32</f>
        <v>15600.866266193549</v>
      </c>
      <c r="J20" s="87">
        <f>'OPER EXP'!$C$30*REVENUE!$C33</f>
        <v>18721.039519432255</v>
      </c>
      <c r="K20" s="87">
        <f>'OPER EXP'!$C$30*REVENUE!$C34</f>
        <v>23401.299399290321</v>
      </c>
      <c r="L20" s="87">
        <f>'OPER EXP'!$C$30*REVENUE!$C36</f>
        <v>18721.039519432255</v>
      </c>
      <c r="M20" s="87">
        <f>'OPER EXP'!$C$30*REVENUE!$C37</f>
        <v>20281.126146051614</v>
      </c>
      <c r="N20" s="87">
        <f>'OPER EXP'!$C$30*REVENUE!$C38</f>
        <v>23401.299399290321</v>
      </c>
      <c r="O20" s="190">
        <f t="shared" si="1"/>
        <v>156008.66266193549</v>
      </c>
      <c r="P20" s="87">
        <f>'OPER EXP'!C29</f>
        <v>156008.66266193549</v>
      </c>
    </row>
    <row r="21" spans="1:16">
      <c r="A21" s="588" t="s">
        <v>415</v>
      </c>
      <c r="B21" s="83"/>
      <c r="C21" s="87">
        <f>'OPER EXP'!$C$37*REVENUE!$C24</f>
        <v>0</v>
      </c>
      <c r="D21" s="87">
        <f>'OPER EXP'!$C$37*REVENUE!$C25</f>
        <v>0</v>
      </c>
      <c r="E21" s="87">
        <f>'OPER EXP'!$C$37*REVENUE!$C26</f>
        <v>0</v>
      </c>
      <c r="F21" s="87">
        <f>'OPER EXP'!$C$37*REVENUE!$C28</f>
        <v>2455.4331330967748</v>
      </c>
      <c r="G21" s="87">
        <f>'OPER EXP'!$C$37*REVENUE!$C29</f>
        <v>3928.6930129548391</v>
      </c>
      <c r="H21" s="87">
        <f>'OPER EXP'!$C$37*REVENUE!$C30</f>
        <v>4910.8662661935496</v>
      </c>
      <c r="I21" s="87">
        <f>'OPER EXP'!$C$37*REVENUE!$C32</f>
        <v>4910.8662661935496</v>
      </c>
      <c r="J21" s="87">
        <f>'OPER EXP'!$C$37*REVENUE!$C33</f>
        <v>5893.0395194322582</v>
      </c>
      <c r="K21" s="87">
        <f>'OPER EXP'!$C$37*REVENUE!$C34</f>
        <v>7366.299399290323</v>
      </c>
      <c r="L21" s="87">
        <f>'OPER EXP'!$C$37*REVENUE!$C36</f>
        <v>5893.0395194322582</v>
      </c>
      <c r="M21" s="87">
        <f>'OPER EXP'!$C$37*REVENUE!$C37</f>
        <v>6384.1261460516134</v>
      </c>
      <c r="N21" s="87">
        <f>'OPER EXP'!$C$37*REVENUE!$C38</f>
        <v>7366.299399290323</v>
      </c>
      <c r="O21" s="190">
        <f t="shared" si="1"/>
        <v>49108.662661935479</v>
      </c>
      <c r="P21" s="87">
        <f>'OPER EXP'!C36</f>
        <v>49108.662661935487</v>
      </c>
    </row>
    <row r="22" spans="1:16">
      <c r="A22" s="588" t="s">
        <v>432</v>
      </c>
      <c r="B22" s="83"/>
      <c r="C22" s="87">
        <f>'OPER EXP'!$C$44*REVENUE!$C24</f>
        <v>0</v>
      </c>
      <c r="D22" s="87">
        <f>'OPER EXP'!$C$44*REVENUE!$C25</f>
        <v>0</v>
      </c>
      <c r="E22" s="87">
        <f>'OPER EXP'!$C$44*REVENUE!$C26</f>
        <v>0</v>
      </c>
      <c r="F22" s="87">
        <f>'OPER EXP'!$C$44*REVENUE!$C28</f>
        <v>5455.4331330967743</v>
      </c>
      <c r="G22" s="87">
        <f>'OPER EXP'!$C$44*REVENUE!$C29</f>
        <v>8728.6930129548382</v>
      </c>
      <c r="H22" s="87">
        <f>'OPER EXP'!$C$44*REVENUE!$C30</f>
        <v>10910.866266193549</v>
      </c>
      <c r="I22" s="87">
        <f>'OPER EXP'!$C$44*REVENUE!$C32</f>
        <v>10910.866266193549</v>
      </c>
      <c r="J22" s="87">
        <f>'OPER EXP'!$C$44*REVENUE!$C33</f>
        <v>13093.039519432257</v>
      </c>
      <c r="K22" s="87">
        <f>'OPER EXP'!$C$44*REVENUE!$C34</f>
        <v>16366.299399290321</v>
      </c>
      <c r="L22" s="87">
        <f>'OPER EXP'!$C$44*REVENUE!$C36</f>
        <v>13093.039519432257</v>
      </c>
      <c r="M22" s="87">
        <f>'OPER EXP'!$C$44*REVENUE!$C37</f>
        <v>14184.126146051614</v>
      </c>
      <c r="N22" s="87">
        <f>'OPER EXP'!$C$44*REVENUE!$C38</f>
        <v>16366.299399290321</v>
      </c>
      <c r="O22" s="190">
        <f t="shared" si="1"/>
        <v>109108.66266193548</v>
      </c>
      <c r="P22" s="87">
        <f>'OPER EXP'!C43</f>
        <v>109108.66266193548</v>
      </c>
    </row>
    <row r="23" spans="1:16">
      <c r="A23" s="588" t="s">
        <v>371</v>
      </c>
      <c r="B23" s="83"/>
      <c r="C23" s="87">
        <f>'OPER EXP'!$C$60*REVENUE!$C24</f>
        <v>0</v>
      </c>
      <c r="D23" s="87">
        <f>'OPER EXP'!$C$60*REVENUE!$C25</f>
        <v>0</v>
      </c>
      <c r="E23" s="87">
        <f>'OPER EXP'!$C$60*REVENUE!$C26</f>
        <v>0</v>
      </c>
      <c r="F23" s="87">
        <f>'OPER EXP'!$C$60*REVENUE!$C28</f>
        <v>4498.4376870752685</v>
      </c>
      <c r="G23" s="87">
        <f>'OPER EXP'!$C$60*REVENUE!$C29</f>
        <v>7197.5002993204298</v>
      </c>
      <c r="H23" s="87">
        <f>'OPER EXP'!$C$60*REVENUE!$C30</f>
        <v>8996.875374150537</v>
      </c>
      <c r="I23" s="87">
        <f>'OPER EXP'!$C$60*REVENUE!$C32</f>
        <v>8996.875374150537</v>
      </c>
      <c r="J23" s="87">
        <f>'OPER EXP'!$C$60*REVENUE!$C33</f>
        <v>10796.250448980643</v>
      </c>
      <c r="K23" s="87">
        <f>'OPER EXP'!$C$60*REVENUE!$C34</f>
        <v>13495.313061225805</v>
      </c>
      <c r="L23" s="87">
        <f>'OPER EXP'!$C$60*REVENUE!$C36</f>
        <v>10796.250448980643</v>
      </c>
      <c r="M23" s="87">
        <f>'OPER EXP'!$C$60*REVENUE!$C37</f>
        <v>11695.937986395698</v>
      </c>
      <c r="N23" s="87">
        <f>'OPER EXP'!$C$60*REVENUE!$C38</f>
        <v>13495.313061225805</v>
      </c>
      <c r="O23" s="190">
        <f t="shared" si="1"/>
        <v>89968.753741505367</v>
      </c>
      <c r="P23" s="85">
        <f>'OPER EXP'!C59</f>
        <v>89968.753741505367</v>
      </c>
    </row>
    <row r="24" spans="1:16">
      <c r="A24" s="37" t="s">
        <v>8</v>
      </c>
      <c r="B24" s="83"/>
      <c r="C24" s="190">
        <f>SUM(C18:C23)</f>
        <v>0</v>
      </c>
      <c r="D24" s="190">
        <f t="shared" ref="D24:N24" si="2">SUM(D18:D23)</f>
        <v>0</v>
      </c>
      <c r="E24" s="190">
        <f t="shared" si="2"/>
        <v>0</v>
      </c>
      <c r="F24" s="190">
        <f t="shared" si="2"/>
        <v>31866.036485655917</v>
      </c>
      <c r="G24" s="190">
        <f t="shared" si="2"/>
        <v>50985.658377049469</v>
      </c>
      <c r="H24" s="190">
        <f t="shared" si="2"/>
        <v>63732.072971311834</v>
      </c>
      <c r="I24" s="190">
        <f t="shared" si="2"/>
        <v>63732.072971311834</v>
      </c>
      <c r="J24" s="190">
        <f t="shared" si="2"/>
        <v>76478.487565574193</v>
      </c>
      <c r="K24" s="190">
        <f t="shared" si="2"/>
        <v>95598.109456967737</v>
      </c>
      <c r="L24" s="190">
        <f t="shared" si="2"/>
        <v>76478.487565574193</v>
      </c>
      <c r="M24" s="190">
        <f t="shared" si="2"/>
        <v>82851.694862705379</v>
      </c>
      <c r="N24" s="190">
        <f t="shared" si="2"/>
        <v>95598.109456967737</v>
      </c>
      <c r="O24" s="590">
        <f>SUM(C24:N24)</f>
        <v>637320.7297131184</v>
      </c>
      <c r="P24" s="87">
        <f>'OPER EXP'!C62</f>
        <v>637320.72971311817</v>
      </c>
    </row>
    <row r="25" spans="1:16">
      <c r="A25" s="37"/>
      <c r="B25" s="26"/>
      <c r="C25" s="206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85"/>
    </row>
    <row r="26" spans="1:16">
      <c r="A26" s="42" t="s">
        <v>9</v>
      </c>
      <c r="B26" s="26"/>
      <c r="C26" s="190">
        <f t="shared" ref="C26:N26" si="3">C15-C24</f>
        <v>0</v>
      </c>
      <c r="D26" s="190">
        <f t="shared" si="3"/>
        <v>0</v>
      </c>
      <c r="E26" s="190">
        <f t="shared" si="3"/>
        <v>0</v>
      </c>
      <c r="F26" s="190">
        <f t="shared" si="3"/>
        <v>3132.550548989253</v>
      </c>
      <c r="G26" s="190">
        <f t="shared" si="3"/>
        <v>5012.0808783827961</v>
      </c>
      <c r="H26" s="190">
        <f t="shared" si="3"/>
        <v>6265.101097978506</v>
      </c>
      <c r="I26" s="190">
        <f t="shared" si="3"/>
        <v>6265.101097978506</v>
      </c>
      <c r="J26" s="190">
        <f t="shared" si="3"/>
        <v>7518.1213175742014</v>
      </c>
      <c r="K26" s="190">
        <f t="shared" si="3"/>
        <v>9397.6516469677445</v>
      </c>
      <c r="L26" s="190">
        <f t="shared" si="3"/>
        <v>7518.1213175742014</v>
      </c>
      <c r="M26" s="190">
        <f t="shared" si="3"/>
        <v>8144.6314273720491</v>
      </c>
      <c r="N26" s="190">
        <f t="shared" si="3"/>
        <v>9397.6516469677445</v>
      </c>
      <c r="O26" s="190">
        <f>SUM(C26:N26)</f>
        <v>62651.010979785002</v>
      </c>
      <c r="P26" s="87">
        <f>'NET PROFIT'!C25</f>
        <v>173545.53648043028</v>
      </c>
    </row>
    <row r="27" spans="1:16">
      <c r="A27" s="37"/>
      <c r="B27" s="26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7"/>
    </row>
    <row r="28" spans="1:16">
      <c r="A28" s="42" t="s">
        <v>10</v>
      </c>
      <c r="B28" s="26"/>
      <c r="C28" s="87">
        <f>EXTRA!C24</f>
        <v>-633.33333333333337</v>
      </c>
      <c r="D28" s="87">
        <f>EXTRA!C25</f>
        <v>-633.33333333333337</v>
      </c>
      <c r="E28" s="87">
        <f>EXTRA!C26</f>
        <v>-633.33333333333337</v>
      </c>
      <c r="F28" s="87">
        <f>EXTRA!C28</f>
        <v>-633.33333333333337</v>
      </c>
      <c r="G28" s="87">
        <f>EXTRA!C29</f>
        <v>-633.33333333333337</v>
      </c>
      <c r="H28" s="87">
        <f>EXTRA!C30</f>
        <v>-633.33333333333337</v>
      </c>
      <c r="I28" s="87">
        <f>EXTRA!C32</f>
        <v>-633.33333333333337</v>
      </c>
      <c r="J28" s="87">
        <f>EXTRA!C33</f>
        <v>-633.33333333333337</v>
      </c>
      <c r="K28" s="87">
        <f>EXTRA!C34</f>
        <v>-633.33333333333337</v>
      </c>
      <c r="L28" s="87">
        <f>EXTRA!C36</f>
        <v>-633.33333333333337</v>
      </c>
      <c r="M28" s="87">
        <f>EXTRA!C37</f>
        <v>-633.33333333333337</v>
      </c>
      <c r="N28" s="87">
        <f>EXTRA!C38</f>
        <v>-633.33333333333337</v>
      </c>
      <c r="O28" s="190">
        <f>SUM(C28:N28)</f>
        <v>-7599.9999999999991</v>
      </c>
      <c r="P28" s="87">
        <f>'NET PROFIT'!C27</f>
        <v>-7600</v>
      </c>
    </row>
    <row r="29" spans="1:16">
      <c r="A29" s="37"/>
      <c r="B29" s="90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85"/>
    </row>
    <row r="30" spans="1:16">
      <c r="A30" s="42" t="s">
        <v>400</v>
      </c>
      <c r="B30" s="26"/>
      <c r="C30" s="190">
        <f>C26+C28</f>
        <v>-633.33333333333337</v>
      </c>
      <c r="D30" s="190">
        <f t="shared" ref="D30:N30" si="4">D26+D28</f>
        <v>-633.33333333333337</v>
      </c>
      <c r="E30" s="190">
        <f t="shared" si="4"/>
        <v>-633.33333333333337</v>
      </c>
      <c r="F30" s="190">
        <f t="shared" si="4"/>
        <v>2499.2172156559195</v>
      </c>
      <c r="G30" s="190">
        <f t="shared" si="4"/>
        <v>4378.747545049463</v>
      </c>
      <c r="H30" s="190">
        <f t="shared" si="4"/>
        <v>5631.767764645173</v>
      </c>
      <c r="I30" s="190">
        <f t="shared" si="4"/>
        <v>5631.767764645173</v>
      </c>
      <c r="J30" s="190">
        <f t="shared" si="4"/>
        <v>6884.7879842408684</v>
      </c>
      <c r="K30" s="190">
        <f t="shared" si="4"/>
        <v>8764.3183136344105</v>
      </c>
      <c r="L30" s="190">
        <f t="shared" si="4"/>
        <v>6884.7879842408684</v>
      </c>
      <c r="M30" s="190">
        <f t="shared" si="4"/>
        <v>7511.298094038716</v>
      </c>
      <c r="N30" s="190">
        <f t="shared" si="4"/>
        <v>8764.3183136344105</v>
      </c>
      <c r="O30" s="190">
        <f>SUM(C30:N30)</f>
        <v>55051.010979784995</v>
      </c>
      <c r="P30" s="87">
        <f>'NET PROFIT'!C29</f>
        <v>165945.53648043028</v>
      </c>
    </row>
    <row r="31" spans="1:16">
      <c r="P31" s="87"/>
    </row>
    <row r="32" spans="1:16">
      <c r="A32" s="42" t="s">
        <v>94</v>
      </c>
      <c r="B32" s="26"/>
      <c r="C32" s="190">
        <f t="shared" ref="C32:N32" si="5">$D$117</f>
        <v>0</v>
      </c>
      <c r="D32" s="190">
        <f t="shared" si="5"/>
        <v>0</v>
      </c>
      <c r="E32" s="190">
        <f t="shared" si="5"/>
        <v>0</v>
      </c>
      <c r="F32" s="190">
        <f t="shared" si="5"/>
        <v>0</v>
      </c>
      <c r="G32" s="190">
        <f t="shared" si="5"/>
        <v>0</v>
      </c>
      <c r="H32" s="190">
        <f t="shared" si="5"/>
        <v>0</v>
      </c>
      <c r="I32" s="190">
        <f t="shared" si="5"/>
        <v>0</v>
      </c>
      <c r="J32" s="190">
        <f t="shared" si="5"/>
        <v>0</v>
      </c>
      <c r="K32" s="190">
        <f t="shared" si="5"/>
        <v>0</v>
      </c>
      <c r="L32" s="190">
        <f t="shared" si="5"/>
        <v>0</v>
      </c>
      <c r="M32" s="190">
        <f t="shared" si="5"/>
        <v>0</v>
      </c>
      <c r="N32" s="190">
        <f t="shared" si="5"/>
        <v>0</v>
      </c>
      <c r="O32" s="190">
        <f>SUM(C32:N32)</f>
        <v>0</v>
      </c>
      <c r="P32" s="87">
        <f>'NET PROFIT'!C31</f>
        <v>0</v>
      </c>
    </row>
    <row r="33" spans="1:16">
      <c r="A33" s="37"/>
      <c r="B33" s="90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7"/>
    </row>
    <row r="34" spans="1:16">
      <c r="A34" s="42" t="s">
        <v>11</v>
      </c>
      <c r="B34" s="26"/>
      <c r="C34" s="210">
        <f>C30+C32</f>
        <v>-633.33333333333337</v>
      </c>
      <c r="D34" s="210">
        <f t="shared" ref="D34:O34" si="6">D30+D32</f>
        <v>-633.33333333333337</v>
      </c>
      <c r="E34" s="210">
        <f t="shared" si="6"/>
        <v>-633.33333333333337</v>
      </c>
      <c r="F34" s="210">
        <f t="shared" si="6"/>
        <v>2499.2172156559195</v>
      </c>
      <c r="G34" s="210">
        <f t="shared" si="6"/>
        <v>4378.747545049463</v>
      </c>
      <c r="H34" s="210">
        <f t="shared" si="6"/>
        <v>5631.767764645173</v>
      </c>
      <c r="I34" s="210">
        <f t="shared" si="6"/>
        <v>5631.767764645173</v>
      </c>
      <c r="J34" s="210">
        <f t="shared" si="6"/>
        <v>6884.7879842408684</v>
      </c>
      <c r="K34" s="210">
        <f t="shared" si="6"/>
        <v>8764.3183136344105</v>
      </c>
      <c r="L34" s="210">
        <f t="shared" si="6"/>
        <v>6884.7879842408684</v>
      </c>
      <c r="M34" s="210">
        <f t="shared" si="6"/>
        <v>7511.298094038716</v>
      </c>
      <c r="N34" s="210">
        <f t="shared" si="6"/>
        <v>8764.3183136344105</v>
      </c>
      <c r="O34" s="210">
        <f t="shared" si="6"/>
        <v>55051.010979784995</v>
      </c>
      <c r="P34" s="191">
        <f>'NET PROFIT'!C33</f>
        <v>165945.53648043028</v>
      </c>
    </row>
    <row r="38" spans="1:16" ht="18">
      <c r="A38" s="238" t="str">
        <f>A1</f>
        <v>AQUAPONICS FARMING</v>
      </c>
    </row>
    <row r="39" spans="1:16" ht="15">
      <c r="A39" s="151" t="s">
        <v>5</v>
      </c>
      <c r="B39" s="37"/>
      <c r="P39" s="232" t="s">
        <v>55</v>
      </c>
    </row>
    <row r="40" spans="1:16" ht="16">
      <c r="A40" s="151" t="s">
        <v>177</v>
      </c>
      <c r="B40" s="152"/>
      <c r="C40" s="154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4"/>
      <c r="O40" s="232" t="s">
        <v>140</v>
      </c>
      <c r="P40" s="232" t="s">
        <v>174</v>
      </c>
    </row>
    <row r="41" spans="1:16" ht="15">
      <c r="B41" s="81"/>
      <c r="C41" s="236" t="s">
        <v>128</v>
      </c>
      <c r="D41" s="236" t="s">
        <v>129</v>
      </c>
      <c r="E41" s="236" t="s">
        <v>130</v>
      </c>
      <c r="F41" s="236" t="s">
        <v>131</v>
      </c>
      <c r="G41" s="236" t="s">
        <v>132</v>
      </c>
      <c r="H41" s="236" t="s">
        <v>133</v>
      </c>
      <c r="I41" s="236" t="s">
        <v>134</v>
      </c>
      <c r="J41" s="236" t="s">
        <v>135</v>
      </c>
      <c r="K41" s="236" t="s">
        <v>136</v>
      </c>
      <c r="L41" s="236" t="s">
        <v>137</v>
      </c>
      <c r="M41" s="236" t="s">
        <v>138</v>
      </c>
      <c r="N41" s="236" t="s">
        <v>139</v>
      </c>
      <c r="O41" s="236" t="s">
        <v>186</v>
      </c>
      <c r="P41" s="204" t="s">
        <v>187</v>
      </c>
    </row>
    <row r="42" spans="1:16" ht="15">
      <c r="A42" s="37"/>
      <c r="B42" s="81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</row>
    <row r="43" spans="1:16">
      <c r="A43" s="42" t="s">
        <v>119</v>
      </c>
      <c r="B43" s="83"/>
      <c r="C43" s="87">
        <f>REVENUE!D24</f>
        <v>74584.612919483872</v>
      </c>
      <c r="D43" s="87">
        <f>REVENUE!D25</f>
        <v>74584.612919483872</v>
      </c>
      <c r="E43" s="87">
        <f>REVENUE!D26</f>
        <v>74584.612919483872</v>
      </c>
      <c r="F43" s="87">
        <f>REVENUE!D28</f>
        <v>74584.612919483872</v>
      </c>
      <c r="G43" s="87">
        <f>REVENUE!D29</f>
        <v>65261.536304548397</v>
      </c>
      <c r="H43" s="87">
        <f>REVENUE!D30</f>
        <v>65261.536304548397</v>
      </c>
      <c r="I43" s="87">
        <f>REVENUE!D32</f>
        <v>74584.612919483872</v>
      </c>
      <c r="J43" s="87">
        <f>REVENUE!D33</f>
        <v>74584.612919483872</v>
      </c>
      <c r="K43" s="87">
        <f>REVENUE!D34</f>
        <v>74584.612919483872</v>
      </c>
      <c r="L43" s="87">
        <f>REVENUE!D36</f>
        <v>102553.84276429033</v>
      </c>
      <c r="M43" s="87">
        <f>REVENUE!D37</f>
        <v>83907.689534419362</v>
      </c>
      <c r="N43" s="87">
        <f>REVENUE!D38</f>
        <v>93230.766149354851</v>
      </c>
      <c r="O43" s="190">
        <f>SUM(C43:N43)</f>
        <v>932307.66149354842</v>
      </c>
      <c r="P43" s="87">
        <f>'NET PROFIT'!D7</f>
        <v>932307.66149354842</v>
      </c>
    </row>
    <row r="44" spans="1:16">
      <c r="A44" s="37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7"/>
    </row>
    <row r="45" spans="1:16">
      <c r="A45" s="42" t="s">
        <v>163</v>
      </c>
      <c r="B45" s="26"/>
      <c r="C45" s="85">
        <f>'COST OF REV'!$D$31*'INCOME-MOS'!C43</f>
        <v>10602.945812291613</v>
      </c>
      <c r="D45" s="85">
        <f>'COST OF REV'!$D$31*'INCOME-MOS'!D43</f>
        <v>10602.945812291613</v>
      </c>
      <c r="E45" s="85">
        <f>'COST OF REV'!$D$31*'INCOME-MOS'!E43</f>
        <v>10602.945812291613</v>
      </c>
      <c r="F45" s="85">
        <f>'COST OF REV'!$D$31*'INCOME-MOS'!F43</f>
        <v>10602.945812291613</v>
      </c>
      <c r="G45" s="85">
        <f>'COST OF REV'!$D$31*'INCOME-MOS'!G43</f>
        <v>9277.5775857551635</v>
      </c>
      <c r="H45" s="85">
        <f>'COST OF REV'!$D$31*'INCOME-MOS'!H43</f>
        <v>9277.5775857551635</v>
      </c>
      <c r="I45" s="85">
        <f>'COST OF REV'!$D$31*'INCOME-MOS'!I43</f>
        <v>10602.945812291613</v>
      </c>
      <c r="J45" s="85">
        <f>'COST OF REV'!$D$31*'INCOME-MOS'!J43</f>
        <v>10602.945812291613</v>
      </c>
      <c r="K45" s="85">
        <f>'COST OF REV'!$D$31*'INCOME-MOS'!K43</f>
        <v>10602.945812291613</v>
      </c>
      <c r="L45" s="85">
        <f>'COST OF REV'!$D$31*'INCOME-MOS'!L43</f>
        <v>14579.050491900969</v>
      </c>
      <c r="M45" s="85">
        <f>'COST OF REV'!$D$31*'INCOME-MOS'!M43</f>
        <v>11928.314038828066</v>
      </c>
      <c r="N45" s="85">
        <f>'COST OF REV'!$D$31*'INCOME-MOS'!N43</f>
        <v>13253.682265364518</v>
      </c>
      <c r="O45" s="205">
        <f>SUM(C45:N45)</f>
        <v>132536.82265364515</v>
      </c>
      <c r="P45" s="85">
        <f>'COST OF REV'!D30</f>
        <v>132536.82265364518</v>
      </c>
    </row>
    <row r="46" spans="1:16">
      <c r="A46" s="37"/>
      <c r="B46" s="26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7"/>
    </row>
    <row r="47" spans="1:16">
      <c r="A47" s="42" t="s">
        <v>120</v>
      </c>
      <c r="B47" s="83"/>
      <c r="C47" s="190">
        <f>C43-C45</f>
        <v>63981.667107192261</v>
      </c>
      <c r="D47" s="190">
        <f>D43-D45</f>
        <v>63981.667107192261</v>
      </c>
      <c r="E47" s="190">
        <f t="shared" ref="E47:N47" si="7">E43-E45</f>
        <v>63981.667107192261</v>
      </c>
      <c r="F47" s="190">
        <f t="shared" si="7"/>
        <v>63981.667107192261</v>
      </c>
      <c r="G47" s="190">
        <f t="shared" si="7"/>
        <v>55983.958718793234</v>
      </c>
      <c r="H47" s="190">
        <f t="shared" si="7"/>
        <v>55983.958718793234</v>
      </c>
      <c r="I47" s="190">
        <f t="shared" si="7"/>
        <v>63981.667107192261</v>
      </c>
      <c r="J47" s="190">
        <f t="shared" si="7"/>
        <v>63981.667107192261</v>
      </c>
      <c r="K47" s="190">
        <f t="shared" si="7"/>
        <v>63981.667107192261</v>
      </c>
      <c r="L47" s="190">
        <f t="shared" si="7"/>
        <v>87974.792272389357</v>
      </c>
      <c r="M47" s="190">
        <f t="shared" si="7"/>
        <v>71979.375495591288</v>
      </c>
      <c r="N47" s="190">
        <f t="shared" si="7"/>
        <v>79977.08388399033</v>
      </c>
      <c r="O47" s="190">
        <f>SUM(C47:N47)</f>
        <v>799770.83883990336</v>
      </c>
      <c r="P47" s="87">
        <f>'NET PROFIT'!D12</f>
        <v>799770.83883990324</v>
      </c>
    </row>
    <row r="48" spans="1:16">
      <c r="A48" s="37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7"/>
    </row>
    <row r="49" spans="1:16">
      <c r="A49" s="42" t="s">
        <v>7</v>
      </c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7"/>
    </row>
    <row r="50" spans="1:16">
      <c r="A50" s="37" t="s">
        <v>73</v>
      </c>
      <c r="B50" s="83"/>
      <c r="C50" s="87">
        <f>'OPER EXP'!$D$16*REVENUE!$D$24</f>
        <v>8819.6922583896776</v>
      </c>
      <c r="D50" s="87">
        <f>'OPER EXP'!$D$16*REVENUE!$D$25</f>
        <v>8819.6922583896776</v>
      </c>
      <c r="E50" s="87">
        <f>'OPER EXP'!$D$16*REVENUE!$D$26</f>
        <v>8819.6922583896776</v>
      </c>
      <c r="F50" s="87">
        <f>'OPER EXP'!$D$16*REVENUE!$D$28</f>
        <v>8819.6922583896776</v>
      </c>
      <c r="G50" s="87">
        <f>'OPER EXP'!$D$16*REVENUE!$D$29</f>
        <v>7717.2307260909693</v>
      </c>
      <c r="H50" s="87">
        <f>'OPER EXP'!$D$16*REVENUE!$D$30</f>
        <v>7717.2307260909693</v>
      </c>
      <c r="I50" s="87">
        <f>'OPER EXP'!$D$16*REVENUE!$D$32</f>
        <v>8819.6922583896776</v>
      </c>
      <c r="J50" s="87">
        <f>'OPER EXP'!$D$16*REVENUE!$D$33</f>
        <v>8819.6922583896776</v>
      </c>
      <c r="K50" s="87">
        <f>'OPER EXP'!$D$16*REVENUE!$D$34</f>
        <v>8819.6922583896776</v>
      </c>
      <c r="L50" s="87">
        <f>'OPER EXP'!$D$16*REVENUE!$D$36</f>
        <v>12127.076855285808</v>
      </c>
      <c r="M50" s="87">
        <f>'OPER EXP'!$D$16*REVENUE!$D$37</f>
        <v>9922.1537906883877</v>
      </c>
      <c r="N50" s="87">
        <f>'OPER EXP'!$D$16*REVENUE!$D$38</f>
        <v>11024.615322987098</v>
      </c>
      <c r="O50" s="190">
        <f>SUM(C50:N50)</f>
        <v>110246.15322987099</v>
      </c>
      <c r="P50" s="87">
        <f>'OPER EXP'!D15</f>
        <v>110246.15322987098</v>
      </c>
    </row>
    <row r="51" spans="1:16">
      <c r="A51" s="588" t="s">
        <v>408</v>
      </c>
      <c r="B51" s="83"/>
      <c r="C51" s="87">
        <f>'OPER EXP'!$D$23*REVENUE!$D$24</f>
        <v>9721.8461291948388</v>
      </c>
      <c r="D51" s="87">
        <f>'OPER EXP'!$D$23*REVENUE!$D$25</f>
        <v>9721.8461291948388</v>
      </c>
      <c r="E51" s="87">
        <f>'OPER EXP'!$D$23*REVENUE!$D$26</f>
        <v>9721.8461291948388</v>
      </c>
      <c r="F51" s="87">
        <f>'OPER EXP'!$D$23*REVENUE!$D$28</f>
        <v>9721.8461291948388</v>
      </c>
      <c r="G51" s="87">
        <f>'OPER EXP'!$D$23*REVENUE!$D$29</f>
        <v>8506.6153630454864</v>
      </c>
      <c r="H51" s="87">
        <f>'OPER EXP'!$D$23*REVENUE!$D$30</f>
        <v>8506.6153630454864</v>
      </c>
      <c r="I51" s="87">
        <f>'OPER EXP'!$D$23*REVENUE!$D$32</f>
        <v>9721.8461291948388</v>
      </c>
      <c r="J51" s="87">
        <f>'OPER EXP'!$D$23*REVENUE!$D$33</f>
        <v>9721.8461291948388</v>
      </c>
      <c r="K51" s="87">
        <f>'OPER EXP'!$D$23*REVENUE!$D$34</f>
        <v>9721.8461291948388</v>
      </c>
      <c r="L51" s="87">
        <f>'OPER EXP'!$D$23*REVENUE!$D$36</f>
        <v>13367.538427642905</v>
      </c>
      <c r="M51" s="87">
        <f>'OPER EXP'!$D$23*REVENUE!$D$37</f>
        <v>10937.076895344195</v>
      </c>
      <c r="N51" s="87">
        <f>'OPER EXP'!$D$23*REVENUE!$D$38</f>
        <v>12152.307661493551</v>
      </c>
      <c r="O51" s="190">
        <f t="shared" ref="O51:O55" si="8">SUM(C51:N51)</f>
        <v>121523.07661493549</v>
      </c>
      <c r="P51" s="87">
        <f>'OPER EXP'!D22</f>
        <v>121523.07661493549</v>
      </c>
    </row>
    <row r="52" spans="1:16">
      <c r="A52" s="588" t="s">
        <v>407</v>
      </c>
      <c r="B52" s="83"/>
      <c r="C52" s="87">
        <f>'OPER EXP'!$D$30*REVENUE!$D$24</f>
        <v>12577.846129194839</v>
      </c>
      <c r="D52" s="87">
        <f>'OPER EXP'!$D$30*REVENUE!$D$25</f>
        <v>12577.846129194839</v>
      </c>
      <c r="E52" s="87">
        <f>'OPER EXP'!$D$30*REVENUE!$D$26</f>
        <v>12577.846129194839</v>
      </c>
      <c r="F52" s="87">
        <f>'OPER EXP'!$D$30*REVENUE!$D$28</f>
        <v>12577.846129194839</v>
      </c>
      <c r="G52" s="87">
        <f>'OPER EXP'!$D$30*REVENUE!$D$29</f>
        <v>11005.615363045485</v>
      </c>
      <c r="H52" s="87">
        <f>'OPER EXP'!$D$30*REVENUE!$D$30</f>
        <v>11005.615363045485</v>
      </c>
      <c r="I52" s="87">
        <f>'OPER EXP'!$D$30*REVENUE!$D$32</f>
        <v>12577.846129194839</v>
      </c>
      <c r="J52" s="87">
        <f>'OPER EXP'!$D$30*REVENUE!$D$33</f>
        <v>12577.846129194839</v>
      </c>
      <c r="K52" s="87">
        <f>'OPER EXP'!$D$30*REVENUE!$D$34</f>
        <v>12577.846129194839</v>
      </c>
      <c r="L52" s="87">
        <f>'OPER EXP'!$D$30*REVENUE!$D$36</f>
        <v>17294.538427642903</v>
      </c>
      <c r="M52" s="87">
        <f>'OPER EXP'!$D$30*REVENUE!$D$37</f>
        <v>14150.076895344195</v>
      </c>
      <c r="N52" s="87">
        <f>'OPER EXP'!$D$30*REVENUE!$D$38</f>
        <v>15722.307661493551</v>
      </c>
      <c r="O52" s="190">
        <f t="shared" si="8"/>
        <v>157223.07661493545</v>
      </c>
      <c r="P52" s="87">
        <f>'OPER EXP'!D29</f>
        <v>157223.07661493547</v>
      </c>
    </row>
    <row r="53" spans="1:16">
      <c r="A53" s="588" t="s">
        <v>415</v>
      </c>
      <c r="B53" s="83"/>
      <c r="C53" s="87">
        <f>'OPER EXP'!$D$37*REVENUE!$D$24</f>
        <v>4025.8461291948388</v>
      </c>
      <c r="D53" s="87">
        <f>'OPER EXP'!$D$37*REVENUE!$D$25</f>
        <v>4025.8461291948388</v>
      </c>
      <c r="E53" s="87">
        <f>'OPER EXP'!$D$37*REVENUE!$D$26</f>
        <v>4025.8461291948388</v>
      </c>
      <c r="F53" s="87">
        <f>'OPER EXP'!$D$37*REVENUE!$D$28</f>
        <v>4025.8461291948388</v>
      </c>
      <c r="G53" s="87">
        <f>'OPER EXP'!$D$37*REVENUE!$D$29</f>
        <v>3522.6153630454842</v>
      </c>
      <c r="H53" s="87">
        <f>'OPER EXP'!$D$37*REVENUE!$D$30</f>
        <v>3522.6153630454842</v>
      </c>
      <c r="I53" s="87">
        <f>'OPER EXP'!$D$37*REVENUE!$D$32</f>
        <v>4025.8461291948388</v>
      </c>
      <c r="J53" s="87">
        <f>'OPER EXP'!$D$37*REVENUE!$D$33</f>
        <v>4025.8461291948388</v>
      </c>
      <c r="K53" s="87">
        <f>'OPER EXP'!$D$37*REVENUE!$D$34</f>
        <v>4025.8461291948388</v>
      </c>
      <c r="L53" s="87">
        <f>'OPER EXP'!$D$37*REVENUE!$D$36</f>
        <v>5535.5384276429031</v>
      </c>
      <c r="M53" s="87">
        <f>'OPER EXP'!$D$37*REVENUE!$D$37</f>
        <v>4529.0768953441939</v>
      </c>
      <c r="N53" s="87">
        <f>'OPER EXP'!$D$37*REVENUE!$D$38</f>
        <v>5032.3076614935489</v>
      </c>
      <c r="O53" s="190">
        <f t="shared" si="8"/>
        <v>50323.076614935489</v>
      </c>
      <c r="P53" s="87">
        <f>'OPER EXP'!D36</f>
        <v>50323.076614935482</v>
      </c>
    </row>
    <row r="54" spans="1:16">
      <c r="A54" s="588" t="s">
        <v>432</v>
      </c>
      <c r="B54" s="83"/>
      <c r="C54" s="87">
        <f>'OPER EXP'!$D$44*REVENUE!$D$24</f>
        <v>8825.8461291948388</v>
      </c>
      <c r="D54" s="87">
        <f>'OPER EXP'!$D$44*REVENUE!$D$25</f>
        <v>8825.8461291948388</v>
      </c>
      <c r="E54" s="87">
        <f>'OPER EXP'!$D$44*REVENUE!$D$26</f>
        <v>8825.8461291948388</v>
      </c>
      <c r="F54" s="87">
        <f>'OPER EXP'!$D$44*REVENUE!$D$28</f>
        <v>8825.8461291948388</v>
      </c>
      <c r="G54" s="87">
        <f>'OPER EXP'!$D$44*REVENUE!$D$29</f>
        <v>7722.6153630454855</v>
      </c>
      <c r="H54" s="87">
        <f>'OPER EXP'!$D$44*REVENUE!$D$30</f>
        <v>7722.6153630454855</v>
      </c>
      <c r="I54" s="87">
        <f>'OPER EXP'!$D$44*REVENUE!$D$32</f>
        <v>8825.8461291948388</v>
      </c>
      <c r="J54" s="87">
        <f>'OPER EXP'!$D$44*REVENUE!$D$33</f>
        <v>8825.8461291948388</v>
      </c>
      <c r="K54" s="87">
        <f>'OPER EXP'!$D$44*REVENUE!$D$34</f>
        <v>8825.8461291948388</v>
      </c>
      <c r="L54" s="87">
        <f>'OPER EXP'!$D$44*REVENUE!$D$36</f>
        <v>12135.538427642905</v>
      </c>
      <c r="M54" s="87">
        <f>'OPER EXP'!$D$44*REVENUE!$D$37</f>
        <v>9929.0768953441948</v>
      </c>
      <c r="N54" s="87">
        <f>'OPER EXP'!$D$44*REVENUE!$D$38</f>
        <v>11032.307661493551</v>
      </c>
      <c r="O54" s="190">
        <f t="shared" si="8"/>
        <v>110323.07661493549</v>
      </c>
      <c r="P54" s="87">
        <f>'OPER EXP'!D43</f>
        <v>110323.07661493549</v>
      </c>
    </row>
    <row r="55" spans="1:16">
      <c r="A55" s="588" t="s">
        <v>371</v>
      </c>
      <c r="B55" s="83"/>
      <c r="C55" s="87">
        <f>'OPER EXP'!$D$60*REVENUE!$D$24</f>
        <v>6663.5928715604305</v>
      </c>
      <c r="D55" s="87">
        <f>'OPER EXP'!$D$60*REVENUE!$D$25</f>
        <v>6663.5928715604305</v>
      </c>
      <c r="E55" s="87">
        <f>'OPER EXP'!$D$60*REVENUE!$D$26</f>
        <v>6663.5928715604305</v>
      </c>
      <c r="F55" s="87">
        <f>'OPER EXP'!$D$60*REVENUE!$D$28</f>
        <v>6663.5928715604305</v>
      </c>
      <c r="G55" s="87">
        <f>'OPER EXP'!$D$60*REVENUE!$D$29</f>
        <v>5830.6437626153775</v>
      </c>
      <c r="H55" s="87">
        <f>'OPER EXP'!$D$60*REVENUE!$D$30</f>
        <v>5830.6437626153775</v>
      </c>
      <c r="I55" s="87">
        <f>'OPER EXP'!$D$60*REVENUE!$D$32</f>
        <v>6663.5928715604305</v>
      </c>
      <c r="J55" s="87">
        <f>'OPER EXP'!$D$60*REVENUE!$D$33</f>
        <v>6663.5928715604305</v>
      </c>
      <c r="K55" s="87">
        <f>'OPER EXP'!$D$60*REVENUE!$D$34</f>
        <v>6663.5928715604305</v>
      </c>
      <c r="L55" s="87">
        <f>'OPER EXP'!$D$60*REVENUE!$D$36</f>
        <v>9162.4401983955922</v>
      </c>
      <c r="M55" s="87">
        <f>'OPER EXP'!$D$60*REVENUE!$D$37</f>
        <v>7496.5419805054853</v>
      </c>
      <c r="N55" s="87">
        <f>'OPER EXP'!$D$60*REVENUE!$D$38</f>
        <v>8329.4910894505392</v>
      </c>
      <c r="O55" s="190">
        <f t="shared" si="8"/>
        <v>83294.910894505389</v>
      </c>
      <c r="P55" s="85">
        <f>'OPER EXP'!D59</f>
        <v>83294.910894505389</v>
      </c>
    </row>
    <row r="56" spans="1:16">
      <c r="A56" s="37" t="s">
        <v>8</v>
      </c>
      <c r="B56" s="83"/>
      <c r="C56" s="190">
        <f>SUM(C50:C55)</f>
        <v>50634.669646729468</v>
      </c>
      <c r="D56" s="190">
        <f t="shared" ref="D56:N56" si="9">SUM(D50:D55)</f>
        <v>50634.669646729468</v>
      </c>
      <c r="E56" s="190">
        <f t="shared" si="9"/>
        <v>50634.669646729468</v>
      </c>
      <c r="F56" s="190">
        <f t="shared" si="9"/>
        <v>50634.669646729468</v>
      </c>
      <c r="G56" s="190">
        <f t="shared" si="9"/>
        <v>44305.335940888282</v>
      </c>
      <c r="H56" s="190">
        <f t="shared" si="9"/>
        <v>44305.335940888282</v>
      </c>
      <c r="I56" s="190">
        <f t="shared" si="9"/>
        <v>50634.669646729468</v>
      </c>
      <c r="J56" s="190">
        <f t="shared" si="9"/>
        <v>50634.669646729468</v>
      </c>
      <c r="K56" s="190">
        <f t="shared" si="9"/>
        <v>50634.669646729468</v>
      </c>
      <c r="L56" s="190">
        <f t="shared" si="9"/>
        <v>69622.670764253009</v>
      </c>
      <c r="M56" s="190">
        <f t="shared" si="9"/>
        <v>56964.003352570653</v>
      </c>
      <c r="N56" s="190">
        <f t="shared" si="9"/>
        <v>63293.337058411831</v>
      </c>
      <c r="O56" s="590">
        <f>SUM(C56:N56)</f>
        <v>632933.3705841183</v>
      </c>
      <c r="P56" s="87">
        <f>'OPER EXP'!D62</f>
        <v>632933.37058411841</v>
      </c>
    </row>
    <row r="57" spans="1:16">
      <c r="A57" s="37"/>
      <c r="B57" s="2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85"/>
    </row>
    <row r="58" spans="1:16">
      <c r="A58" s="42" t="s">
        <v>9</v>
      </c>
      <c r="B58" s="26"/>
      <c r="C58" s="190">
        <f>C47-C56</f>
        <v>13346.997460462793</v>
      </c>
      <c r="D58" s="190">
        <f t="shared" ref="D58:O58" si="10">D47-D56</f>
        <v>13346.997460462793</v>
      </c>
      <c r="E58" s="190">
        <f t="shared" si="10"/>
        <v>13346.997460462793</v>
      </c>
      <c r="F58" s="190">
        <f t="shared" si="10"/>
        <v>13346.997460462793</v>
      </c>
      <c r="G58" s="190">
        <f t="shared" si="10"/>
        <v>11678.622777904951</v>
      </c>
      <c r="H58" s="190">
        <f t="shared" si="10"/>
        <v>11678.622777904951</v>
      </c>
      <c r="I58" s="190">
        <f t="shared" si="10"/>
        <v>13346.997460462793</v>
      </c>
      <c r="J58" s="190">
        <f t="shared" si="10"/>
        <v>13346.997460462793</v>
      </c>
      <c r="K58" s="190">
        <f t="shared" si="10"/>
        <v>13346.997460462793</v>
      </c>
      <c r="L58" s="190">
        <f t="shared" si="10"/>
        <v>18352.121508136348</v>
      </c>
      <c r="M58" s="190">
        <f t="shared" si="10"/>
        <v>15015.372143020635</v>
      </c>
      <c r="N58" s="190">
        <f t="shared" si="10"/>
        <v>16683.746825578499</v>
      </c>
      <c r="O58" s="190">
        <f t="shared" si="10"/>
        <v>166837.46825578506</v>
      </c>
      <c r="P58" s="87">
        <f>'NET PROFIT'!D25</f>
        <v>299374.29090943001</v>
      </c>
    </row>
    <row r="59" spans="1:16">
      <c r="A59" s="37"/>
      <c r="B59" s="26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7"/>
    </row>
    <row r="60" spans="1:16">
      <c r="A60" s="42" t="s">
        <v>10</v>
      </c>
      <c r="B60" s="26"/>
      <c r="C60" s="87">
        <f>EXTRA!D24</f>
        <v>0</v>
      </c>
      <c r="D60" s="87">
        <f>EXTRA!D25</f>
        <v>0</v>
      </c>
      <c r="E60" s="87">
        <f>EXTRA!D26</f>
        <v>0</v>
      </c>
      <c r="F60" s="87">
        <f>EXTRA!D28</f>
        <v>0</v>
      </c>
      <c r="G60" s="87">
        <f>EXTRA!D29</f>
        <v>0</v>
      </c>
      <c r="H60" s="87">
        <f>EXTRA!D30</f>
        <v>0</v>
      </c>
      <c r="I60" s="87">
        <f>EXTRA!D32</f>
        <v>0</v>
      </c>
      <c r="J60" s="87">
        <f>EXTRA!D33</f>
        <v>0</v>
      </c>
      <c r="K60" s="87">
        <f>EXTRA!D34</f>
        <v>0</v>
      </c>
      <c r="L60" s="87">
        <f>EXTRA!D36</f>
        <v>0</v>
      </c>
      <c r="M60" s="87">
        <f>EXTRA!D37</f>
        <v>0</v>
      </c>
      <c r="N60" s="87">
        <f>EXTRA!D38</f>
        <v>0</v>
      </c>
      <c r="O60" s="190">
        <f>SUM(C60:N60)</f>
        <v>0</v>
      </c>
      <c r="P60" s="87">
        <f>'NET PROFIT'!D27</f>
        <v>-4600</v>
      </c>
    </row>
    <row r="61" spans="1:16">
      <c r="A61" s="37"/>
      <c r="B61" s="90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85"/>
    </row>
    <row r="62" spans="1:16">
      <c r="A62" s="42" t="s">
        <v>400</v>
      </c>
      <c r="B62" s="26"/>
      <c r="C62" s="190">
        <f>C58+C60</f>
        <v>13346.997460462793</v>
      </c>
      <c r="D62" s="190">
        <f t="shared" ref="D62:N62" si="11">D58+D60</f>
        <v>13346.997460462793</v>
      </c>
      <c r="E62" s="190">
        <f t="shared" si="11"/>
        <v>13346.997460462793</v>
      </c>
      <c r="F62" s="190">
        <f t="shared" si="11"/>
        <v>13346.997460462793</v>
      </c>
      <c r="G62" s="190">
        <f t="shared" si="11"/>
        <v>11678.622777904951</v>
      </c>
      <c r="H62" s="190">
        <f t="shared" si="11"/>
        <v>11678.622777904951</v>
      </c>
      <c r="I62" s="190">
        <f t="shared" si="11"/>
        <v>13346.997460462793</v>
      </c>
      <c r="J62" s="190">
        <f t="shared" si="11"/>
        <v>13346.997460462793</v>
      </c>
      <c r="K62" s="190">
        <f t="shared" si="11"/>
        <v>13346.997460462793</v>
      </c>
      <c r="L62" s="190">
        <f t="shared" si="11"/>
        <v>18352.121508136348</v>
      </c>
      <c r="M62" s="190">
        <f t="shared" si="11"/>
        <v>15015.372143020635</v>
      </c>
      <c r="N62" s="190">
        <f t="shared" si="11"/>
        <v>16683.746825578499</v>
      </c>
      <c r="O62" s="190">
        <f>SUM(C62:N62)</f>
        <v>166837.46825578494</v>
      </c>
      <c r="P62" s="87">
        <f>'NET PROFIT'!D29</f>
        <v>294774.29090943001</v>
      </c>
    </row>
    <row r="63" spans="1:16">
      <c r="A63" s="37"/>
      <c r="B63" s="90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7"/>
    </row>
    <row r="64" spans="1:16">
      <c r="A64" s="42" t="s">
        <v>94</v>
      </c>
      <c r="B64" s="26"/>
      <c r="C64" s="190">
        <f t="shared" ref="C64:N64" si="12">$D$118</f>
        <v>0</v>
      </c>
      <c r="D64" s="190">
        <f t="shared" si="12"/>
        <v>0</v>
      </c>
      <c r="E64" s="190">
        <f t="shared" si="12"/>
        <v>0</v>
      </c>
      <c r="F64" s="190">
        <f t="shared" si="12"/>
        <v>0</v>
      </c>
      <c r="G64" s="190">
        <f t="shared" si="12"/>
        <v>0</v>
      </c>
      <c r="H64" s="190">
        <f t="shared" si="12"/>
        <v>0</v>
      </c>
      <c r="I64" s="190">
        <f t="shared" si="12"/>
        <v>0</v>
      </c>
      <c r="J64" s="190">
        <f t="shared" si="12"/>
        <v>0</v>
      </c>
      <c r="K64" s="190">
        <f t="shared" si="12"/>
        <v>0</v>
      </c>
      <c r="L64" s="190">
        <f t="shared" si="12"/>
        <v>0</v>
      </c>
      <c r="M64" s="190">
        <f t="shared" si="12"/>
        <v>0</v>
      </c>
      <c r="N64" s="190">
        <f t="shared" si="12"/>
        <v>0</v>
      </c>
      <c r="O64" s="190">
        <f>SUM(C64:N64)</f>
        <v>0</v>
      </c>
      <c r="P64" s="87">
        <f>'NET PROFIT'!D31</f>
        <v>0</v>
      </c>
    </row>
    <row r="65" spans="1:20">
      <c r="A65" s="37"/>
      <c r="B65" s="90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87"/>
    </row>
    <row r="66" spans="1:20" ht="14" thickBot="1">
      <c r="A66" s="42" t="s">
        <v>11</v>
      </c>
      <c r="B66" s="26"/>
      <c r="C66" s="210">
        <f>C62+C64</f>
        <v>13346.997460462793</v>
      </c>
      <c r="D66" s="210">
        <f t="shared" ref="D66:O66" si="13">D62+D64</f>
        <v>13346.997460462793</v>
      </c>
      <c r="E66" s="210">
        <f t="shared" si="13"/>
        <v>13346.997460462793</v>
      </c>
      <c r="F66" s="210">
        <f t="shared" si="13"/>
        <v>13346.997460462793</v>
      </c>
      <c r="G66" s="210">
        <f t="shared" si="13"/>
        <v>11678.622777904951</v>
      </c>
      <c r="H66" s="210">
        <f t="shared" si="13"/>
        <v>11678.622777904951</v>
      </c>
      <c r="I66" s="210">
        <f t="shared" si="13"/>
        <v>13346.997460462793</v>
      </c>
      <c r="J66" s="210">
        <f t="shared" si="13"/>
        <v>13346.997460462793</v>
      </c>
      <c r="K66" s="210">
        <f t="shared" si="13"/>
        <v>13346.997460462793</v>
      </c>
      <c r="L66" s="210">
        <f t="shared" si="13"/>
        <v>18352.121508136348</v>
      </c>
      <c r="M66" s="210">
        <f t="shared" si="13"/>
        <v>15015.372143020635</v>
      </c>
      <c r="N66" s="210">
        <f t="shared" si="13"/>
        <v>16683.746825578499</v>
      </c>
      <c r="O66" s="210">
        <f t="shared" si="13"/>
        <v>166837.46825578494</v>
      </c>
      <c r="P66" s="263">
        <f>'NET PROFIT'!D33</f>
        <v>294774.29090943001</v>
      </c>
    </row>
    <row r="70" spans="1:20" ht="18">
      <c r="A70" s="238" t="str">
        <f>A1</f>
        <v>AQUAPONICS FARMING</v>
      </c>
    </row>
    <row r="71" spans="1:20" ht="15">
      <c r="A71" s="151" t="s">
        <v>5</v>
      </c>
      <c r="R71" s="232" t="s">
        <v>56</v>
      </c>
      <c r="S71" s="232" t="s">
        <v>57</v>
      </c>
      <c r="T71" s="232" t="s">
        <v>58</v>
      </c>
    </row>
    <row r="72" spans="1:20" ht="15">
      <c r="A72" s="151" t="s">
        <v>188</v>
      </c>
      <c r="R72" s="232" t="s">
        <v>174</v>
      </c>
      <c r="S72" s="232" t="s">
        <v>174</v>
      </c>
      <c r="T72" s="232" t="s">
        <v>174</v>
      </c>
    </row>
    <row r="73" spans="1:20" ht="16">
      <c r="A73" s="151"/>
      <c r="C73" s="601" t="s">
        <v>56</v>
      </c>
      <c r="D73" s="601"/>
      <c r="E73" s="601"/>
      <c r="F73" s="601"/>
      <c r="G73" s="601"/>
      <c r="H73" s="601" t="s">
        <v>57</v>
      </c>
      <c r="I73" s="601"/>
      <c r="J73" s="601"/>
      <c r="K73" s="601"/>
      <c r="L73" s="601"/>
      <c r="M73" s="255" t="s">
        <v>58</v>
      </c>
      <c r="N73" s="255"/>
      <c r="O73" s="255"/>
      <c r="P73" s="255"/>
      <c r="Q73" s="255"/>
      <c r="R73" s="204" t="s">
        <v>187</v>
      </c>
      <c r="S73" s="204" t="s">
        <v>187</v>
      </c>
      <c r="T73" s="204" t="s">
        <v>187</v>
      </c>
    </row>
    <row r="74" spans="1:20">
      <c r="A74" s="37"/>
      <c r="B74" s="37"/>
      <c r="C74" s="235" t="s">
        <v>178</v>
      </c>
      <c r="D74" s="235" t="s">
        <v>180</v>
      </c>
      <c r="E74" s="235" t="s">
        <v>181</v>
      </c>
      <c r="F74" s="235" t="s">
        <v>182</v>
      </c>
      <c r="G74" s="235" t="s">
        <v>111</v>
      </c>
      <c r="H74" s="235" t="s">
        <v>178</v>
      </c>
      <c r="I74" s="235" t="s">
        <v>183</v>
      </c>
      <c r="J74" s="235" t="s">
        <v>184</v>
      </c>
      <c r="K74" s="235" t="s">
        <v>185</v>
      </c>
      <c r="L74" s="235" t="s">
        <v>111</v>
      </c>
      <c r="M74" s="235" t="s">
        <v>178</v>
      </c>
      <c r="N74" s="235" t="s">
        <v>183</v>
      </c>
      <c r="O74" s="235" t="s">
        <v>184</v>
      </c>
      <c r="P74" s="235" t="s">
        <v>185</v>
      </c>
      <c r="Q74" s="235" t="s">
        <v>111</v>
      </c>
    </row>
    <row r="75" spans="1:20">
      <c r="A75" s="37"/>
      <c r="B75" s="37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</row>
    <row r="76" spans="1:20">
      <c r="A76" s="42" t="s">
        <v>119</v>
      </c>
      <c r="B76" s="37"/>
      <c r="C76" s="87">
        <f>REVENUE!E27</f>
        <v>249147.76622245161</v>
      </c>
      <c r="D76" s="87">
        <f>REVENUE!E31</f>
        <v>238766.60929651614</v>
      </c>
      <c r="E76" s="87">
        <f>REVENUE!E35</f>
        <v>238766.60929651614</v>
      </c>
      <c r="F76" s="87">
        <f>REVENUE!E39</f>
        <v>311434.70777806453</v>
      </c>
      <c r="G76" s="87">
        <f>SUM(C76:F76)</f>
        <v>1038115.6925935484</v>
      </c>
      <c r="H76" s="87">
        <f>REVENUE!F27</f>
        <v>276753.63643032266</v>
      </c>
      <c r="I76" s="87">
        <f>REVENUE!F31</f>
        <v>212887.41263870973</v>
      </c>
      <c r="J76" s="87">
        <f>REVENUE!F35</f>
        <v>276753.6364303226</v>
      </c>
      <c r="K76" s="87">
        <f>REVENUE!F39</f>
        <v>298042.37769419356</v>
      </c>
      <c r="L76" s="87">
        <f>SUM(H76:K76)</f>
        <v>1064437.0631935485</v>
      </c>
      <c r="M76" s="87">
        <f>REVENUE!G27</f>
        <v>262676.7136784516</v>
      </c>
      <c r="N76" s="87">
        <f>REVENUE!G31</f>
        <v>218897.26139870967</v>
      </c>
      <c r="O76" s="87">
        <f>REVENUE!G35</f>
        <v>273621.57674838707</v>
      </c>
      <c r="P76" s="87">
        <f>REVENUE!G39</f>
        <v>339290.755168</v>
      </c>
      <c r="Q76" s="87">
        <f>SUM(M76:P76)</f>
        <v>1094486.3069935483</v>
      </c>
      <c r="R76" s="240">
        <f>'NET PROFIT'!E7</f>
        <v>1038115.6925935483</v>
      </c>
      <c r="S76" s="240">
        <f>'NET PROFIT'!F7</f>
        <v>1064437.0631935485</v>
      </c>
      <c r="T76" s="240">
        <f>'NET PROFIT'!G7</f>
        <v>1094486.3069935483</v>
      </c>
    </row>
    <row r="77" spans="1:20">
      <c r="A77" s="37"/>
      <c r="B77" s="37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240"/>
      <c r="S77" s="240"/>
      <c r="T77" s="240"/>
    </row>
    <row r="78" spans="1:20">
      <c r="A78" s="42" t="s">
        <v>163</v>
      </c>
      <c r="B78" s="37"/>
      <c r="C78" s="85">
        <f>'COST OF REV'!$E$31*C76</f>
        <v>36965.46867951483</v>
      </c>
      <c r="D78" s="85">
        <f>'COST OF REV'!$E$31*D76</f>
        <v>35425.240817868384</v>
      </c>
      <c r="E78" s="85">
        <f>'COST OF REV'!$E$31*E76</f>
        <v>35425.240817868384</v>
      </c>
      <c r="F78" s="85">
        <f>'COST OF REV'!$E$31*F76</f>
        <v>46206.835849393545</v>
      </c>
      <c r="G78" s="85">
        <f>SUM(C78:F78)</f>
        <v>154022.78616464513</v>
      </c>
      <c r="H78" s="85">
        <f>'COST OF REV'!$F$31*H76</f>
        <v>45425.609598367751</v>
      </c>
      <c r="I78" s="85">
        <f>'COST OF REV'!$F$31*I76</f>
        <v>34942.776614129041</v>
      </c>
      <c r="J78" s="85">
        <f>'COST OF REV'!$F$31*J76</f>
        <v>45425.609598367744</v>
      </c>
      <c r="K78" s="85">
        <f>'COST OF REV'!$F$31*K76</f>
        <v>48919.88725978064</v>
      </c>
      <c r="L78" s="85">
        <f>SUM(H78:K78)</f>
        <v>174713.88307064516</v>
      </c>
      <c r="M78" s="85">
        <f>'COST OF REV'!$G$31*M76</f>
        <v>46906.142090074849</v>
      </c>
      <c r="N78" s="85">
        <f>'COST OF REV'!$G$31*N76</f>
        <v>39088.451741729041</v>
      </c>
      <c r="O78" s="85">
        <f>'COST OF REV'!$G$31*O76</f>
        <v>48860.564677161296</v>
      </c>
      <c r="P78" s="85">
        <f>'COST OF REV'!$G$31*P76</f>
        <v>60587.100199680011</v>
      </c>
      <c r="Q78" s="85">
        <f>SUM(M78:P78)</f>
        <v>195442.25870864518</v>
      </c>
      <c r="R78" s="241">
        <f>'COST OF REV'!E30</f>
        <v>154022.78616464513</v>
      </c>
      <c r="S78" s="241">
        <f>'COST OF REV'!F30</f>
        <v>174713.88307064516</v>
      </c>
      <c r="T78" s="241">
        <f>'COST OF REV'!G30</f>
        <v>195442.25870864518</v>
      </c>
    </row>
    <row r="79" spans="1:20">
      <c r="A79" s="37"/>
      <c r="B79" s="37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240"/>
      <c r="S79" s="240"/>
      <c r="T79" s="240"/>
    </row>
    <row r="80" spans="1:20">
      <c r="A80" s="42" t="s">
        <v>120</v>
      </c>
      <c r="B80" s="37"/>
      <c r="C80" s="190">
        <f t="shared" ref="C80:P80" si="14">C76-C78</f>
        <v>212182.29754293678</v>
      </c>
      <c r="D80" s="190">
        <f t="shared" si="14"/>
        <v>203341.36847864775</v>
      </c>
      <c r="E80" s="190">
        <f t="shared" si="14"/>
        <v>203341.36847864775</v>
      </c>
      <c r="F80" s="190">
        <f t="shared" si="14"/>
        <v>265227.87192867097</v>
      </c>
      <c r="G80" s="190">
        <f t="shared" si="14"/>
        <v>884092.90642890334</v>
      </c>
      <c r="H80" s="190">
        <f t="shared" si="14"/>
        <v>231328.02683195489</v>
      </c>
      <c r="I80" s="190">
        <f t="shared" si="14"/>
        <v>177944.63602458069</v>
      </c>
      <c r="J80" s="190">
        <f t="shared" si="14"/>
        <v>231328.02683195486</v>
      </c>
      <c r="K80" s="190">
        <f t="shared" si="14"/>
        <v>249122.49043441293</v>
      </c>
      <c r="L80" s="190">
        <f t="shared" si="14"/>
        <v>889723.18012290332</v>
      </c>
      <c r="M80" s="190">
        <f t="shared" si="14"/>
        <v>215770.57158837677</v>
      </c>
      <c r="N80" s="190">
        <f t="shared" si="14"/>
        <v>179808.80965698062</v>
      </c>
      <c r="O80" s="190">
        <f t="shared" si="14"/>
        <v>224761.01207122579</v>
      </c>
      <c r="P80" s="190">
        <f t="shared" si="14"/>
        <v>278703.65496831998</v>
      </c>
      <c r="Q80" s="190">
        <f>Q76-Q78</f>
        <v>899044.04828490317</v>
      </c>
      <c r="R80" s="240">
        <f>'NET PROFIT'!E12</f>
        <v>884092.90642890322</v>
      </c>
      <c r="S80" s="240">
        <f>'NET PROFIT'!F12</f>
        <v>889723.18012290332</v>
      </c>
      <c r="T80" s="240">
        <f>'NET PROFIT'!G12</f>
        <v>899044.04828490317</v>
      </c>
    </row>
    <row r="81" spans="1:20">
      <c r="A81" s="37"/>
      <c r="B81" s="37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240"/>
      <c r="S81" s="240"/>
      <c r="T81" s="240"/>
    </row>
    <row r="82" spans="1:20">
      <c r="A82" s="42" t="s">
        <v>7</v>
      </c>
      <c r="B82" s="37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240"/>
      <c r="S82" s="240"/>
      <c r="T82" s="240"/>
    </row>
    <row r="83" spans="1:20">
      <c r="A83" s="37" t="s">
        <v>73</v>
      </c>
      <c r="B83" s="83"/>
      <c r="C83" s="87">
        <f>'OPER EXP'!$E$16*REVENUE!$E27</f>
        <v>26966.955324449034</v>
      </c>
      <c r="D83" s="87">
        <f>'OPER EXP'!$E$16*REVENUE!$E31</f>
        <v>25843.332185930325</v>
      </c>
      <c r="E83" s="87">
        <f>'OPER EXP'!$E$16*REVENUE!$E35</f>
        <v>25843.332185930325</v>
      </c>
      <c r="F83" s="87">
        <f>'OPER EXP'!$E$16*REVENUE!$E39</f>
        <v>33708.694155561294</v>
      </c>
      <c r="G83" s="87">
        <f>'OPER EXP'!$E$16*REVENUE!E40</f>
        <v>112362.31385187099</v>
      </c>
      <c r="H83" s="87">
        <f>'OPER EXP'!$F$16*REVENUE!$E27</f>
        <v>26423.335573428405</v>
      </c>
      <c r="I83" s="87">
        <f>'OPER EXP'!$F$16*REVENUE!$E31</f>
        <v>25322.363257868892</v>
      </c>
      <c r="J83" s="87">
        <f>'OPER EXP'!$F$16*REVENUE!$E35</f>
        <v>25322.363257868892</v>
      </c>
      <c r="K83" s="87">
        <f>'OPER EXP'!$F$16*REVENUE!$E39</f>
        <v>33029.169466785512</v>
      </c>
      <c r="L83" s="87">
        <f>'OPER EXP'!$F$16*REVENUE!F40</f>
        <v>112888.74126387096</v>
      </c>
      <c r="M83" s="87">
        <f>'OPER EXP'!$G$16*REVENUE!$E27</f>
        <v>25834.687539049592</v>
      </c>
      <c r="N83" s="87">
        <f>'OPER EXP'!$G$16*REVENUE!$E31</f>
        <v>24758.242224922527</v>
      </c>
      <c r="O83" s="87">
        <f>'OPER EXP'!$G$16*REVENUE!$E35</f>
        <v>24758.242224922527</v>
      </c>
      <c r="P83" s="87">
        <f>'OPER EXP'!$G$16*REVENUE!$E39</f>
        <v>32293.359423811991</v>
      </c>
      <c r="Q83" s="87">
        <f>'OPER EXP'!$G$16*REVENUE!G40</f>
        <v>113489.72613987097</v>
      </c>
      <c r="R83" s="591">
        <f>'OPER EXP'!E15</f>
        <v>112362.31385187097</v>
      </c>
      <c r="S83" s="591">
        <f>'OPER EXP'!F15</f>
        <v>112888.74126387096</v>
      </c>
      <c r="T83" s="591">
        <f>'OPER EXP'!G15</f>
        <v>113489.72613987097</v>
      </c>
    </row>
    <row r="84" spans="1:20">
      <c r="A84" s="588" t="s">
        <v>408</v>
      </c>
      <c r="B84" s="83"/>
      <c r="C84" s="87">
        <f>'OPER EXP'!$E$23*REVENUE!$E$27</f>
        <v>29419.477662224515</v>
      </c>
      <c r="D84" s="87">
        <f>'OPER EXP'!$E$23*REVENUE!$E$31</f>
        <v>28193.666092965163</v>
      </c>
      <c r="E84" s="87">
        <f>'OPER EXP'!$E$23*REVENUE!$E$35</f>
        <v>28193.666092965163</v>
      </c>
      <c r="F84" s="87">
        <f>'OPER EXP'!$E$23*REVENUE!$E$39</f>
        <v>36774.347077780651</v>
      </c>
      <c r="G84" s="87">
        <f>SUM(C84:F84)</f>
        <v>122581.15692593549</v>
      </c>
      <c r="H84" s="87">
        <f>'OPER EXP'!$F$23*REVENUE!$F$27</f>
        <v>31939.536364303232</v>
      </c>
      <c r="I84" s="87">
        <f>'OPER EXP'!$F$23*REVENUE!$F$31</f>
        <v>24568.874126387102</v>
      </c>
      <c r="J84" s="87">
        <f>'OPER EXP'!$F$23*REVENUE!$F$35</f>
        <v>31939.536364303225</v>
      </c>
      <c r="K84" s="87">
        <f>'OPER EXP'!$F$23*REVENUE!$F$39</f>
        <v>34396.423776941934</v>
      </c>
      <c r="L84" s="87">
        <f>'OPER EXP'!$F$23*REVENUE!$F$40</f>
        <v>122844.37063193548</v>
      </c>
      <c r="M84" s="87">
        <f>'OPER EXP'!$G$23*REVENUE!$G$27</f>
        <v>29554.767136784518</v>
      </c>
      <c r="N84" s="87">
        <f>'OPER EXP'!$G$23*REVENUE!$G$31</f>
        <v>24628.972613987098</v>
      </c>
      <c r="O84" s="87">
        <f>'OPER EXP'!$G$23*REVENUE!$G$35</f>
        <v>30786.215767483871</v>
      </c>
      <c r="P84" s="87">
        <f>'OPER EXP'!$G$23*REVENUE!$G$39</f>
        <v>38174.907551680008</v>
      </c>
      <c r="Q84" s="87">
        <f>'OPER EXP'!$G$23*REVENUE!$G$40</f>
        <v>123144.86306993548</v>
      </c>
      <c r="R84" s="591">
        <f>'OPER EXP'!E22</f>
        <v>122581.15692593549</v>
      </c>
      <c r="S84" s="591">
        <f>'OPER EXP'!F22</f>
        <v>122844.37063193548</v>
      </c>
      <c r="T84" s="591">
        <f>'OPER EXP'!G22</f>
        <v>123144.86306993548</v>
      </c>
    </row>
    <row r="85" spans="1:20">
      <c r="A85" s="588" t="s">
        <v>407</v>
      </c>
      <c r="B85" s="83"/>
      <c r="C85" s="87">
        <f>'OPER EXP'!$E$30*REVENUE!$E$27</f>
        <v>37987.477662224512</v>
      </c>
      <c r="D85" s="87">
        <f>'OPER EXP'!$E$30*REVENUE!$E$31</f>
        <v>36404.666092965163</v>
      </c>
      <c r="E85" s="87">
        <f>'OPER EXP'!$E$30*REVENUE!$E$35</f>
        <v>36404.666092965163</v>
      </c>
      <c r="F85" s="87">
        <f>'OPER EXP'!$E$30*REVENUE!$E$39</f>
        <v>47484.347077780651</v>
      </c>
      <c r="G85" s="87">
        <f t="shared" ref="G85:G86" si="15">SUM(C85:F85)</f>
        <v>158281.15692593547</v>
      </c>
      <c r="H85" s="87">
        <f>'OPER EXP'!$F$30*REVENUE!$F$27</f>
        <v>41221.536364303232</v>
      </c>
      <c r="I85" s="87">
        <f>'OPER EXP'!$F$30*REVENUE!$F$31</f>
        <v>31708.874126387102</v>
      </c>
      <c r="J85" s="87">
        <f>'OPER EXP'!$F$30*REVENUE!$F$35</f>
        <v>41221.536364303225</v>
      </c>
      <c r="K85" s="87">
        <f>'OPER EXP'!$F$30*REVENUE!$F$39</f>
        <v>44392.423776941934</v>
      </c>
      <c r="L85" s="87">
        <f>'OPER EXP'!$F$30*REVENUE!$F$40</f>
        <v>158544.37063193548</v>
      </c>
      <c r="M85" s="87">
        <f>'OPER EXP'!$G$30*REVENUE!$G$27</f>
        <v>38122.767136784518</v>
      </c>
      <c r="N85" s="87">
        <f>'OPER EXP'!$G$30*REVENUE!$G$31</f>
        <v>31768.972613987095</v>
      </c>
      <c r="O85" s="87">
        <f>'OPER EXP'!$G$30*REVENUE!$G$35</f>
        <v>39711.215767483867</v>
      </c>
      <c r="P85" s="87">
        <f>'OPER EXP'!$G$30*REVENUE!$G$39</f>
        <v>49241.90755168</v>
      </c>
      <c r="Q85" s="87">
        <f>'OPER EXP'!$G$30*REVENUE!$G$40</f>
        <v>158844.86306993547</v>
      </c>
      <c r="R85" s="591">
        <f>'OPER EXP'!E29</f>
        <v>158281.15692593547</v>
      </c>
      <c r="S85" s="591">
        <f>'OPER EXP'!F29</f>
        <v>158544.37063193548</v>
      </c>
      <c r="T85" s="591">
        <f>'OPER EXP'!G29</f>
        <v>158844.86306993547</v>
      </c>
    </row>
    <row r="86" spans="1:20">
      <c r="A86" s="588" t="s">
        <v>415</v>
      </c>
      <c r="B86" s="83"/>
      <c r="C86" s="87">
        <f>'OPER EXP'!$E$37*REVENUE!$E$27</f>
        <v>12331.477662224517</v>
      </c>
      <c r="D86" s="87">
        <f>'OPER EXP'!$E$37*REVENUE!$E$31</f>
        <v>11817.666092965163</v>
      </c>
      <c r="E86" s="87">
        <f>'OPER EXP'!$E$37*REVENUE!$E$35</f>
        <v>11817.666092965163</v>
      </c>
      <c r="F86" s="87">
        <f>'OPER EXP'!$E$37*REVENUE!$E$39</f>
        <v>15414.347077780647</v>
      </c>
      <c r="G86" s="87">
        <f t="shared" si="15"/>
        <v>51381.156925935487</v>
      </c>
      <c r="H86" s="87">
        <f>'OPER EXP'!$F$37*REVENUE!$F$27</f>
        <v>13427.536364303227</v>
      </c>
      <c r="I86" s="87">
        <f>'OPER EXP'!$F$37*REVENUE!$F$31</f>
        <v>10328.874126387098</v>
      </c>
      <c r="J86" s="87">
        <f>'OPER EXP'!$F$37*REVENUE!$F$35</f>
        <v>13427.536364303225</v>
      </c>
      <c r="K86" s="87">
        <f>'OPER EXP'!$F$37*REVENUE!$F$39</f>
        <v>14460.423776941934</v>
      </c>
      <c r="L86" s="87">
        <f>'OPER EXP'!$F$37*REVENUE!$F$40</f>
        <v>51644.370631935482</v>
      </c>
      <c r="M86" s="87">
        <f>'OPER EXP'!$G$37*REVENUE!$G$27</f>
        <v>12466.767136784518</v>
      </c>
      <c r="N86" s="87">
        <f>'OPER EXP'!$G$37*REVENUE!$G$31</f>
        <v>10388.972613987098</v>
      </c>
      <c r="O86" s="87">
        <f>'OPER EXP'!$G$37*REVENUE!$G$35</f>
        <v>12986.215767483871</v>
      </c>
      <c r="P86" s="87">
        <f>'OPER EXP'!$G$37*REVENUE!$G$39</f>
        <v>16102.907551680002</v>
      </c>
      <c r="Q86" s="87">
        <f>'OPER EXP'!$G$37*REVENUE!$G$40</f>
        <v>51944.863069935484</v>
      </c>
      <c r="R86" s="591">
        <f>'OPER EXP'!E36</f>
        <v>51381.156925935487</v>
      </c>
      <c r="S86" s="591">
        <f>'OPER EXP'!F36</f>
        <v>51644.370631935482</v>
      </c>
      <c r="T86" s="591">
        <f>'OPER EXP'!G36</f>
        <v>51944.863069935484</v>
      </c>
    </row>
    <row r="87" spans="1:20">
      <c r="A87" s="588" t="s">
        <v>432</v>
      </c>
      <c r="B87" s="83"/>
      <c r="C87" s="87">
        <f>'OPER EXP'!$E$44*REVENUE!$E$27</f>
        <v>26731.477662224519</v>
      </c>
      <c r="D87" s="87">
        <f>'OPER EXP'!$E$44*REVENUE!$E$31</f>
        <v>25617.666092965163</v>
      </c>
      <c r="E87" s="87">
        <f>'OPER EXP'!$E$44*REVENUE!$E$35</f>
        <v>25617.666092965163</v>
      </c>
      <c r="F87" s="87">
        <f>'OPER EXP'!$E$44*REVENUE!$E$39</f>
        <v>33414.347077780651</v>
      </c>
      <c r="G87" s="87">
        <f>'OPER EXP'!$E$44*REVENUE!$E$40</f>
        <v>111381.1569259355</v>
      </c>
      <c r="H87" s="87">
        <f>'OPER EXP'!$F$44*REVENUE!$F$27</f>
        <v>29027.536364303232</v>
      </c>
      <c r="I87" s="87">
        <f>'OPER EXP'!$F$44*REVENUE!$F$31</f>
        <v>22328.874126387102</v>
      </c>
      <c r="J87" s="87">
        <f>'OPER EXP'!$F$44*REVENUE!$F$35</f>
        <v>29027.536364303225</v>
      </c>
      <c r="K87" s="87">
        <f>'OPER EXP'!$F$44*REVENUE!$F$39</f>
        <v>31260.423776941934</v>
      </c>
      <c r="L87" s="87">
        <f>'OPER EXP'!$F$44*REVENUE!$F$40</f>
        <v>111644.37063193548</v>
      </c>
      <c r="M87" s="87">
        <f>'OPER EXP'!$G$44*REVENUE!$G$27</f>
        <v>26866.767136784514</v>
      </c>
      <c r="N87" s="87">
        <f>'OPER EXP'!$G$44*REVENUE!$G$31</f>
        <v>22388.972613987098</v>
      </c>
      <c r="O87" s="87">
        <f>'OPER EXP'!$G$44*REVENUE!$G$35</f>
        <v>27986.215767483871</v>
      </c>
      <c r="P87" s="87">
        <f>'OPER EXP'!$G$44*REVENUE!$G$39</f>
        <v>34702.90755168</v>
      </c>
      <c r="Q87" s="87">
        <f>'OPER EXP'!$G$44*REVENUE!$G$40</f>
        <v>111944.86306993548</v>
      </c>
      <c r="R87" s="591">
        <f>'OPER EXP'!E43</f>
        <v>111381.15692593549</v>
      </c>
      <c r="S87" s="591">
        <f>'OPER EXP'!F43</f>
        <v>111644.37063193548</v>
      </c>
      <c r="T87" s="591">
        <f>'OPER EXP'!G43</f>
        <v>111944.86306993548</v>
      </c>
    </row>
    <row r="88" spans="1:20">
      <c r="A88" s="588" t="s">
        <v>371</v>
      </c>
      <c r="B88" s="83"/>
      <c r="C88" s="87">
        <f>'OPER EXP'!$E$60*REVENUE!$E$27</f>
        <v>20878.24084932129</v>
      </c>
      <c r="D88" s="87">
        <f>'OPER EXP'!$E$60*REVENUE!$E$31</f>
        <v>20008.314147266236</v>
      </c>
      <c r="E88" s="87">
        <f>'OPER EXP'!$E$60*REVENUE!$E$35</f>
        <v>20008.314147266236</v>
      </c>
      <c r="F88" s="87">
        <f>'OPER EXP'!$E$60*REVENUE!$E$39</f>
        <v>26097.801061651615</v>
      </c>
      <c r="G88" s="87">
        <f>'OPER EXP'!$E$60*REVENUE!$E$40</f>
        <v>86992.670205505376</v>
      </c>
      <c r="H88" s="87">
        <f>'OPER EXP'!$F$60*REVENUE!$F$27</f>
        <v>23544.425491991406</v>
      </c>
      <c r="I88" s="87">
        <f>'OPER EXP'!$F$60*REVENUE!$F$31</f>
        <v>18111.096532301079</v>
      </c>
      <c r="J88" s="87">
        <f>'OPER EXP'!$F$60*REVENUE!$F$35</f>
        <v>23544.425491991398</v>
      </c>
      <c r="K88" s="87">
        <f>'OPER EXP'!$F$60*REVENUE!$F$39</f>
        <v>25355.535145221507</v>
      </c>
      <c r="L88" s="87">
        <f>'OPER EXP'!$F$60*REVENUE!$F$40</f>
        <v>90555.482661505375</v>
      </c>
      <c r="M88" s="87">
        <f>'OPER EXP'!$G$60*REVENUE!$G$27</f>
        <v>22795.313648881292</v>
      </c>
      <c r="N88" s="87">
        <f>'OPER EXP'!$G$60*REVENUE!$G$31</f>
        <v>18996.09470740108</v>
      </c>
      <c r="O88" s="87">
        <f>'OPER EXP'!$G$60*REVENUE!$G$35</f>
        <v>23745.118384251346</v>
      </c>
      <c r="P88" s="87">
        <f>'OPER EXP'!$G$60*REVENUE!$G$39</f>
        <v>29443.946796471671</v>
      </c>
      <c r="Q88" s="87">
        <f>'OPER EXP'!$G$60*REVENUE!$G$40</f>
        <v>94980.473537005382</v>
      </c>
      <c r="R88" s="591">
        <f>'OPER EXP'!E59</f>
        <v>86992.670205505376</v>
      </c>
      <c r="S88" s="591">
        <f>'OPER EXP'!F59</f>
        <v>90555.482661505375</v>
      </c>
      <c r="T88" s="591">
        <f>'OPER EXP'!G59</f>
        <v>94980.473537005382</v>
      </c>
    </row>
    <row r="89" spans="1:20">
      <c r="A89" s="37" t="s">
        <v>8</v>
      </c>
      <c r="B89" s="83"/>
      <c r="C89" s="190">
        <f>SUM(C83:C88)</f>
        <v>154315.1068226684</v>
      </c>
      <c r="D89" s="190">
        <f t="shared" ref="D89:N89" si="16">SUM(D83:D88)</f>
        <v>147885.31070505723</v>
      </c>
      <c r="E89" s="190">
        <f t="shared" si="16"/>
        <v>147885.31070505723</v>
      </c>
      <c r="F89" s="190">
        <f t="shared" si="16"/>
        <v>192893.88352833549</v>
      </c>
      <c r="G89" s="190">
        <f t="shared" si="16"/>
        <v>642979.61176111829</v>
      </c>
      <c r="H89" s="190">
        <f t="shared" si="16"/>
        <v>165583.90652263272</v>
      </c>
      <c r="I89" s="190">
        <f t="shared" si="16"/>
        <v>132368.95629571838</v>
      </c>
      <c r="J89" s="190">
        <f t="shared" si="16"/>
        <v>164482.93420707321</v>
      </c>
      <c r="K89" s="190">
        <f t="shared" si="16"/>
        <v>182894.39971977475</v>
      </c>
      <c r="L89" s="190">
        <f t="shared" si="16"/>
        <v>648121.70645311824</v>
      </c>
      <c r="M89" s="190">
        <f t="shared" si="16"/>
        <v>155641.06973506897</v>
      </c>
      <c r="N89" s="190">
        <f t="shared" si="16"/>
        <v>132930.227388272</v>
      </c>
      <c r="O89" s="190">
        <f t="shared" ref="O89:Q89" si="17">SUM(O83:O88)</f>
        <v>159973.22367910936</v>
      </c>
      <c r="P89" s="190">
        <f t="shared" si="17"/>
        <v>199959.93642700365</v>
      </c>
      <c r="Q89" s="190">
        <f t="shared" si="17"/>
        <v>654349.6519566183</v>
      </c>
      <c r="R89" s="595">
        <f>'OPER EXP'!E62</f>
        <v>642979.61176111829</v>
      </c>
      <c r="S89" s="595">
        <f>'OPER EXP'!F68</f>
        <v>648121.70645311824</v>
      </c>
      <c r="T89" s="595">
        <f>'OPER EXP'!G68</f>
        <v>654349.6519566183</v>
      </c>
    </row>
    <row r="90" spans="1:20">
      <c r="A90" s="37"/>
      <c r="B90" s="37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240"/>
      <c r="S90" s="240"/>
      <c r="T90" s="240"/>
    </row>
    <row r="91" spans="1:20">
      <c r="A91" s="234" t="s">
        <v>9</v>
      </c>
      <c r="B91" s="233"/>
      <c r="C91" s="190">
        <f>C80-C89</f>
        <v>57867.19072026838</v>
      </c>
      <c r="D91" s="190">
        <f t="shared" ref="D91:Q91" si="18">D80-D89</f>
        <v>55456.057773590524</v>
      </c>
      <c r="E91" s="190">
        <f t="shared" si="18"/>
        <v>55456.057773590524</v>
      </c>
      <c r="F91" s="190">
        <f t="shared" si="18"/>
        <v>72333.988400335482</v>
      </c>
      <c r="G91" s="190">
        <f t="shared" si="18"/>
        <v>241113.29466778506</v>
      </c>
      <c r="H91" s="190">
        <f t="shared" si="18"/>
        <v>65744.12030932217</v>
      </c>
      <c r="I91" s="190">
        <f t="shared" si="18"/>
        <v>45575.679728862306</v>
      </c>
      <c r="J91" s="190">
        <f t="shared" si="18"/>
        <v>66845.092624881654</v>
      </c>
      <c r="K91" s="190">
        <f t="shared" si="18"/>
        <v>66228.09071463818</v>
      </c>
      <c r="L91" s="190">
        <f t="shared" si="18"/>
        <v>241601.47366978507</v>
      </c>
      <c r="M91" s="190">
        <f t="shared" si="18"/>
        <v>60129.501853307796</v>
      </c>
      <c r="N91" s="190">
        <f t="shared" si="18"/>
        <v>46878.582268708618</v>
      </c>
      <c r="O91" s="190">
        <f t="shared" si="18"/>
        <v>64787.788392116432</v>
      </c>
      <c r="P91" s="190">
        <f t="shared" si="18"/>
        <v>78743.718541316339</v>
      </c>
      <c r="Q91" s="190">
        <f t="shared" si="18"/>
        <v>244694.39632828487</v>
      </c>
      <c r="R91" s="240">
        <f>'NET PROFIT'!E25</f>
        <v>395136.08083243005</v>
      </c>
      <c r="S91" s="240">
        <f>'NET PROFIT'!F25</f>
        <v>416315.35674043023</v>
      </c>
      <c r="T91" s="240">
        <f>'NET PROFIT'!G25</f>
        <v>440136.65503692999</v>
      </c>
    </row>
    <row r="92" spans="1:20">
      <c r="A92" s="37"/>
      <c r="B92" s="37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240"/>
      <c r="S92" s="240"/>
      <c r="T92" s="240"/>
    </row>
    <row r="93" spans="1:20">
      <c r="A93" s="42" t="s">
        <v>10</v>
      </c>
      <c r="B93" s="37"/>
      <c r="C93" s="240">
        <f>EXTRA!E27</f>
        <v>-1533.3333333333333</v>
      </c>
      <c r="D93" s="240">
        <f>EXTRA!E31</f>
        <v>-1533.3333333333333</v>
      </c>
      <c r="E93" s="240">
        <f>EXTRA!E35</f>
        <v>-1533.3333333333333</v>
      </c>
      <c r="F93" s="240">
        <f>EXTRA!E39</f>
        <v>-1533.3333333333333</v>
      </c>
      <c r="G93" s="240">
        <f>EXTRA!E40</f>
        <v>-6133.333333333333</v>
      </c>
      <c r="H93" s="240">
        <f>EXTRA!F27</f>
        <v>-1533.3333333333333</v>
      </c>
      <c r="I93" s="240">
        <f>EXTRA!F31</f>
        <v>-1533.3333333333333</v>
      </c>
      <c r="J93" s="240">
        <f>EXTRA!F35</f>
        <v>-1533.3333333333333</v>
      </c>
      <c r="K93" s="240">
        <f>EXTRA!F39</f>
        <v>-1533.3333333333333</v>
      </c>
      <c r="L93" s="240">
        <f>EXTRA!F40</f>
        <v>-6133.333333333333</v>
      </c>
      <c r="M93" s="240">
        <f>EXTRA!G27</f>
        <v>-1533.3333333333333</v>
      </c>
      <c r="N93" s="240">
        <f>EXTRA!G31</f>
        <v>-1533.3333333333333</v>
      </c>
      <c r="O93" s="240">
        <f>EXTRA!G35</f>
        <v>-1533.3333333333333</v>
      </c>
      <c r="P93" s="240">
        <f>EXTRA!G39</f>
        <v>-1533.3333333333333</v>
      </c>
      <c r="Q93" s="240">
        <f>EXTRA!G40</f>
        <v>-6133.333333333333</v>
      </c>
      <c r="R93" s="240">
        <f>'NET PROFIT'!E27</f>
        <v>-4600</v>
      </c>
      <c r="S93" s="240">
        <f>'NET PROFIT'!F27</f>
        <v>-4600</v>
      </c>
      <c r="T93" s="240">
        <f>'NET PROFIT'!G27</f>
        <v>-4600</v>
      </c>
    </row>
    <row r="94" spans="1:20">
      <c r="A94" s="37"/>
      <c r="B94" s="37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240"/>
      <c r="S94" s="240"/>
      <c r="T94" s="240"/>
    </row>
    <row r="95" spans="1:20">
      <c r="A95" s="42" t="s">
        <v>400</v>
      </c>
      <c r="B95" s="37"/>
      <c r="C95" s="190">
        <f>C91+C93</f>
        <v>56333.857386935044</v>
      </c>
      <c r="D95" s="190">
        <f>D91+D93</f>
        <v>53922.724440257189</v>
      </c>
      <c r="E95" s="190">
        <f>E91+E93</f>
        <v>53922.724440257189</v>
      </c>
      <c r="F95" s="190">
        <f>F91+F93</f>
        <v>70800.655067002153</v>
      </c>
      <c r="G95" s="190">
        <f>SUM(C95:F95)</f>
        <v>234979.96133445157</v>
      </c>
      <c r="H95" s="190">
        <f>H91+H93</f>
        <v>64210.786975988834</v>
      </c>
      <c r="I95" s="190">
        <f>I91+I93</f>
        <v>44042.34639552897</v>
      </c>
      <c r="J95" s="190">
        <f>J91+J93</f>
        <v>65311.759291548318</v>
      </c>
      <c r="K95" s="190">
        <f>K91+K93</f>
        <v>64694.757381304844</v>
      </c>
      <c r="L95" s="190">
        <f>SUM(H95:K95)</f>
        <v>238259.65004437097</v>
      </c>
      <c r="M95" s="190">
        <f>M91+M93</f>
        <v>58596.168519974461</v>
      </c>
      <c r="N95" s="190">
        <f>N91+N93</f>
        <v>45345.248935375283</v>
      </c>
      <c r="O95" s="190">
        <f>O91+O93</f>
        <v>63254.455058783096</v>
      </c>
      <c r="P95" s="190">
        <f>P91+P93</f>
        <v>77210.38520798301</v>
      </c>
      <c r="Q95" s="190">
        <f>SUM(M95:P95)</f>
        <v>244406.25772211584</v>
      </c>
      <c r="R95" s="240">
        <f>'NET PROFIT'!E29</f>
        <v>390536.08083243005</v>
      </c>
      <c r="S95" s="240">
        <f>'NET PROFIT'!F29</f>
        <v>411715.35674043023</v>
      </c>
      <c r="T95" s="240">
        <f>'NET PROFIT'!G29</f>
        <v>435536.65503692999</v>
      </c>
    </row>
    <row r="96" spans="1:20">
      <c r="A96" s="37"/>
      <c r="B96" s="37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240"/>
      <c r="S96" s="240"/>
      <c r="T96" s="240"/>
    </row>
    <row r="97" spans="1:20">
      <c r="A97" s="42" t="s">
        <v>94</v>
      </c>
      <c r="B97" s="37"/>
      <c r="C97" s="190">
        <f>$D$119</f>
        <v>0</v>
      </c>
      <c r="D97" s="190">
        <f>$D$119</f>
        <v>0</v>
      </c>
      <c r="E97" s="190">
        <f>$D$119</f>
        <v>0</v>
      </c>
      <c r="F97" s="190">
        <f>$D$119</f>
        <v>0</v>
      </c>
      <c r="G97" s="190">
        <f>SUM(C97:F97)</f>
        <v>0</v>
      </c>
      <c r="H97" s="190">
        <f>$D$120</f>
        <v>0</v>
      </c>
      <c r="I97" s="190">
        <f>$D$120</f>
        <v>0</v>
      </c>
      <c r="J97" s="190">
        <f>$D$120</f>
        <v>0</v>
      </c>
      <c r="K97" s="190">
        <f>$D$120</f>
        <v>0</v>
      </c>
      <c r="L97" s="190">
        <f>SUM(H97:K97)</f>
        <v>0</v>
      </c>
      <c r="M97" s="190">
        <f>$D$121</f>
        <v>0</v>
      </c>
      <c r="N97" s="190">
        <f>$D$121</f>
        <v>0</v>
      </c>
      <c r="O97" s="190">
        <f>$D$121</f>
        <v>0</v>
      </c>
      <c r="P97" s="190">
        <f>$D$121</f>
        <v>0</v>
      </c>
      <c r="Q97" s="190">
        <f>SUM(M97:P97)</f>
        <v>0</v>
      </c>
      <c r="R97" s="240">
        <f>'NET PROFIT'!E31</f>
        <v>0</v>
      </c>
      <c r="S97" s="240">
        <f>'NET PROFIT'!F31</f>
        <v>0</v>
      </c>
      <c r="T97" s="240">
        <f>'NET PROFIT'!G31</f>
        <v>0</v>
      </c>
    </row>
    <row r="98" spans="1:20">
      <c r="A98" s="37"/>
      <c r="B98" s="37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240"/>
      <c r="S98" s="240"/>
      <c r="T98" s="240"/>
    </row>
    <row r="99" spans="1:20">
      <c r="A99" s="42" t="s">
        <v>11</v>
      </c>
      <c r="B99" s="37"/>
      <c r="C99" s="210">
        <f>C95+C97</f>
        <v>56333.857386935044</v>
      </c>
      <c r="D99" s="210">
        <f t="shared" ref="D99:Q99" si="19">D95+D97</f>
        <v>53922.724440257189</v>
      </c>
      <c r="E99" s="210">
        <f t="shared" si="19"/>
        <v>53922.724440257189</v>
      </c>
      <c r="F99" s="210">
        <f t="shared" si="19"/>
        <v>70800.655067002153</v>
      </c>
      <c r="G99" s="210">
        <f t="shared" si="19"/>
        <v>234979.96133445157</v>
      </c>
      <c r="H99" s="210">
        <f t="shared" si="19"/>
        <v>64210.786975988834</v>
      </c>
      <c r="I99" s="210">
        <f t="shared" si="19"/>
        <v>44042.34639552897</v>
      </c>
      <c r="J99" s="210">
        <f t="shared" si="19"/>
        <v>65311.759291548318</v>
      </c>
      <c r="K99" s="210">
        <f t="shared" si="19"/>
        <v>64694.757381304844</v>
      </c>
      <c r="L99" s="210">
        <f t="shared" si="19"/>
        <v>238259.65004437097</v>
      </c>
      <c r="M99" s="210">
        <f t="shared" si="19"/>
        <v>58596.168519974461</v>
      </c>
      <c r="N99" s="210">
        <f t="shared" si="19"/>
        <v>45345.248935375283</v>
      </c>
      <c r="O99" s="210">
        <f t="shared" si="19"/>
        <v>63254.455058783096</v>
      </c>
      <c r="P99" s="210">
        <f t="shared" si="19"/>
        <v>77210.38520798301</v>
      </c>
      <c r="Q99" s="210">
        <f t="shared" si="19"/>
        <v>244406.25772211584</v>
      </c>
      <c r="R99" s="242">
        <f>'NET PROFIT'!E33</f>
        <v>390536.08083243005</v>
      </c>
      <c r="S99" s="242">
        <f>'NET PROFIT'!F33</f>
        <v>411715.35674043023</v>
      </c>
      <c r="T99" s="242">
        <f>'NET PROFIT'!G33</f>
        <v>435536.65503692999</v>
      </c>
    </row>
    <row r="100" spans="1:20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</row>
    <row r="101" spans="1:20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1:20" ht="15">
      <c r="A102" s="151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</row>
    <row r="103" spans="1:20" ht="18">
      <c r="A103" s="275"/>
      <c r="B103" s="276"/>
      <c r="C103" s="276"/>
      <c r="D103" s="276"/>
      <c r="E103" s="276"/>
      <c r="F103" s="275"/>
      <c r="G103" s="277"/>
      <c r="H103" s="278" t="s">
        <v>206</v>
      </c>
      <c r="I103" s="276"/>
      <c r="J103" s="276"/>
      <c r="K103" s="276"/>
      <c r="L103" s="276"/>
      <c r="M103" s="276"/>
      <c r="N103" s="276"/>
      <c r="O103" s="276"/>
      <c r="P103" s="276"/>
      <c r="Q103" s="276"/>
    </row>
    <row r="104" spans="1:20" ht="15">
      <c r="A104" s="275"/>
      <c r="B104" s="276"/>
      <c r="C104" s="276"/>
      <c r="D104" s="276"/>
      <c r="E104" s="276"/>
      <c r="F104" s="277"/>
      <c r="G104" s="277"/>
      <c r="H104" s="276" t="s">
        <v>309</v>
      </c>
      <c r="I104" s="276"/>
      <c r="J104" s="276"/>
      <c r="K104" s="276"/>
      <c r="L104" s="276"/>
      <c r="M104" s="276"/>
      <c r="N104" s="276"/>
      <c r="O104" s="276"/>
      <c r="P104" s="276"/>
      <c r="Q104" s="276"/>
    </row>
    <row r="105" spans="1:20" ht="15">
      <c r="A105" s="275"/>
      <c r="B105" s="275"/>
      <c r="C105" s="275"/>
      <c r="D105" s="275"/>
      <c r="E105" s="275"/>
      <c r="F105" s="277"/>
      <c r="G105" s="279" t="s">
        <v>310</v>
      </c>
      <c r="H105" s="277"/>
      <c r="I105" s="275"/>
      <c r="J105" s="275"/>
      <c r="K105" s="275"/>
      <c r="L105" s="275"/>
      <c r="M105" s="275"/>
      <c r="N105" s="275"/>
      <c r="O105" s="275"/>
      <c r="P105" s="275"/>
      <c r="Q105" s="276"/>
    </row>
    <row r="106" spans="1:20" ht="15">
      <c r="A106" s="275"/>
      <c r="B106" s="275"/>
      <c r="C106" s="275"/>
      <c r="D106" s="275"/>
      <c r="E106" s="275"/>
      <c r="F106" s="277"/>
      <c r="G106" s="279" t="s">
        <v>189</v>
      </c>
      <c r="H106" s="277"/>
      <c r="I106" s="275"/>
      <c r="J106" s="275"/>
      <c r="K106" s="275"/>
      <c r="L106" s="275"/>
      <c r="M106" s="275"/>
      <c r="N106" s="275"/>
      <c r="O106" s="275"/>
      <c r="P106" s="275"/>
      <c r="Q106" s="276"/>
    </row>
    <row r="107" spans="1:20" ht="15">
      <c r="A107" s="385" t="s">
        <v>310</v>
      </c>
      <c r="B107" s="275"/>
      <c r="C107" s="275"/>
      <c r="D107" s="275"/>
      <c r="E107" s="275"/>
      <c r="F107" s="275"/>
      <c r="G107" s="275"/>
      <c r="H107" s="275"/>
      <c r="I107" s="275"/>
      <c r="J107" s="275"/>
      <c r="K107" s="275"/>
      <c r="L107" s="275"/>
      <c r="M107" s="275"/>
      <c r="N107" s="275"/>
      <c r="O107" s="275"/>
      <c r="P107" s="275"/>
      <c r="Q107" s="276"/>
    </row>
    <row r="108" spans="1:20" ht="15">
      <c r="A108" s="506" t="s">
        <v>399</v>
      </c>
      <c r="B108" s="275"/>
      <c r="C108" s="280" t="s">
        <v>128</v>
      </c>
      <c r="D108" s="280" t="s">
        <v>129</v>
      </c>
      <c r="E108" s="280" t="s">
        <v>130</v>
      </c>
      <c r="F108" s="280" t="s">
        <v>131</v>
      </c>
      <c r="G108" s="280" t="s">
        <v>132</v>
      </c>
      <c r="H108" s="280" t="s">
        <v>133</v>
      </c>
      <c r="I108" s="280" t="s">
        <v>134</v>
      </c>
      <c r="J108" s="280" t="s">
        <v>135</v>
      </c>
      <c r="K108" s="280" t="s">
        <v>136</v>
      </c>
      <c r="L108" s="280" t="s">
        <v>137</v>
      </c>
      <c r="M108" s="280" t="s">
        <v>138</v>
      </c>
      <c r="N108" s="280" t="s">
        <v>139</v>
      </c>
      <c r="O108" s="275"/>
      <c r="P108" s="275"/>
      <c r="Q108" s="276"/>
    </row>
    <row r="109" spans="1:20" ht="15">
      <c r="A109" s="281" t="s">
        <v>54</v>
      </c>
      <c r="B109" s="282"/>
      <c r="C109" s="275" t="e">
        <f>#REF!</f>
        <v>#REF!</v>
      </c>
      <c r="D109" s="275" t="e">
        <f>C109+#REF!</f>
        <v>#REF!</v>
      </c>
      <c r="E109" s="275" t="e">
        <f>D109+#REF!</f>
        <v>#REF!</v>
      </c>
      <c r="F109" s="275" t="e">
        <f>E109+#REF!</f>
        <v>#REF!</v>
      </c>
      <c r="G109" s="275" t="e">
        <f>F109+#REF!</f>
        <v>#REF!</v>
      </c>
      <c r="H109" s="275" t="e">
        <f>G109+#REF!</f>
        <v>#REF!</v>
      </c>
      <c r="I109" s="275" t="e">
        <f>H109+#REF!</f>
        <v>#REF!</v>
      </c>
      <c r="J109" s="275" t="e">
        <f>I109+#REF!</f>
        <v>#REF!</v>
      </c>
      <c r="K109" s="275" t="e">
        <f>J109+#REF!</f>
        <v>#REF!</v>
      </c>
      <c r="L109" s="275" t="e">
        <f>K109+#REF!</f>
        <v>#REF!</v>
      </c>
      <c r="M109" s="275" t="e">
        <f>L109+#REF!</f>
        <v>#REF!</v>
      </c>
      <c r="N109" s="275" t="e">
        <f>M109+#REF!</f>
        <v>#REF!</v>
      </c>
      <c r="O109" s="275"/>
      <c r="P109" s="275"/>
      <c r="Q109" s="276"/>
    </row>
    <row r="110" spans="1:20" ht="15">
      <c r="A110" s="281" t="s">
        <v>55</v>
      </c>
      <c r="B110" s="275"/>
      <c r="C110" s="275" t="e">
        <f>N109+#REF!</f>
        <v>#REF!</v>
      </c>
      <c r="D110" s="275" t="e">
        <f>C110+#REF!</f>
        <v>#REF!</v>
      </c>
      <c r="E110" s="275" t="e">
        <f>D110+#REF!</f>
        <v>#REF!</v>
      </c>
      <c r="F110" s="275" t="e">
        <f>E110+#REF!</f>
        <v>#REF!</v>
      </c>
      <c r="G110" s="275" t="e">
        <f>F110+#REF!</f>
        <v>#REF!</v>
      </c>
      <c r="H110" s="275" t="e">
        <f>G110+#REF!</f>
        <v>#REF!</v>
      </c>
      <c r="I110" s="275" t="e">
        <f>H110+#REF!</f>
        <v>#REF!</v>
      </c>
      <c r="J110" s="275" t="e">
        <f>I110+#REF!</f>
        <v>#REF!</v>
      </c>
      <c r="K110" s="275" t="e">
        <f>J110+#REF!</f>
        <v>#REF!</v>
      </c>
      <c r="L110" s="275" t="e">
        <f>K110+#REF!</f>
        <v>#REF!</v>
      </c>
      <c r="M110" s="275" t="e">
        <f>L110+#REF!</f>
        <v>#REF!</v>
      </c>
      <c r="N110" s="275" t="e">
        <f>M110+#REF!</f>
        <v>#REF!</v>
      </c>
      <c r="O110" s="275"/>
      <c r="P110" s="275"/>
      <c r="Q110" s="276"/>
    </row>
    <row r="111" spans="1:20" ht="15">
      <c r="A111" s="283"/>
      <c r="B111" s="275"/>
      <c r="C111" s="275"/>
      <c r="D111" s="275"/>
      <c r="E111" s="275"/>
      <c r="F111" s="275"/>
      <c r="G111" s="275"/>
      <c r="H111" s="275"/>
      <c r="I111" s="275"/>
      <c r="J111" s="275"/>
      <c r="K111" s="275"/>
      <c r="L111" s="275"/>
      <c r="M111" s="275"/>
      <c r="N111" s="275"/>
      <c r="O111" s="275"/>
      <c r="P111" s="275"/>
      <c r="Q111" s="276"/>
    </row>
    <row r="112" spans="1:20">
      <c r="A112" s="506" t="s">
        <v>399</v>
      </c>
      <c r="B112" s="275"/>
      <c r="C112" s="600" t="s">
        <v>56</v>
      </c>
      <c r="D112" s="600"/>
      <c r="E112" s="600"/>
      <c r="F112" s="600"/>
      <c r="G112" s="275"/>
      <c r="H112" s="600" t="s">
        <v>57</v>
      </c>
      <c r="I112" s="600"/>
      <c r="J112" s="600"/>
      <c r="K112" s="600"/>
      <c r="L112" s="275"/>
      <c r="M112" s="600" t="s">
        <v>58</v>
      </c>
      <c r="N112" s="600"/>
      <c r="O112" s="600"/>
      <c r="P112" s="600"/>
      <c r="Q112" s="275"/>
    </row>
    <row r="113" spans="1:17">
      <c r="A113" s="283"/>
      <c r="B113" s="275"/>
      <c r="C113" s="280" t="s">
        <v>202</v>
      </c>
      <c r="D113" s="280" t="s">
        <v>203</v>
      </c>
      <c r="E113" s="280" t="s">
        <v>204</v>
      </c>
      <c r="F113" s="280" t="s">
        <v>205</v>
      </c>
      <c r="G113" s="275"/>
      <c r="H113" s="280" t="s">
        <v>202</v>
      </c>
      <c r="I113" s="280" t="s">
        <v>203</v>
      </c>
      <c r="J113" s="280" t="s">
        <v>204</v>
      </c>
      <c r="K113" s="280" t="s">
        <v>205</v>
      </c>
      <c r="L113" s="275"/>
      <c r="M113" s="280" t="s">
        <v>202</v>
      </c>
      <c r="N113" s="280" t="s">
        <v>203</v>
      </c>
      <c r="O113" s="280" t="s">
        <v>204</v>
      </c>
      <c r="P113" s="280" t="s">
        <v>205</v>
      </c>
      <c r="Q113" s="275"/>
    </row>
    <row r="114" spans="1:17">
      <c r="A114" s="283"/>
      <c r="B114" s="275"/>
      <c r="C114" s="275" t="e">
        <f>N110+#REF!</f>
        <v>#REF!</v>
      </c>
      <c r="D114" s="275" t="e">
        <f>C114+#REF!</f>
        <v>#REF!</v>
      </c>
      <c r="E114" s="275" t="e">
        <f>D114+#REF!</f>
        <v>#REF!</v>
      </c>
      <c r="F114" s="275" t="e">
        <f>E114+#REF!</f>
        <v>#REF!</v>
      </c>
      <c r="G114" s="275"/>
      <c r="H114" s="275" t="e">
        <f>F114+#REF!</f>
        <v>#REF!</v>
      </c>
      <c r="I114" s="275" t="e">
        <f>H114+#REF!</f>
        <v>#REF!</v>
      </c>
      <c r="J114" s="275" t="e">
        <f>I114+#REF!</f>
        <v>#REF!</v>
      </c>
      <c r="K114" s="275" t="e">
        <f>J114+#REF!</f>
        <v>#REF!</v>
      </c>
      <c r="L114" s="275"/>
      <c r="M114" s="275" t="e">
        <f>K114+#REF!</f>
        <v>#REF!</v>
      </c>
      <c r="N114" s="275" t="e">
        <f>M114+#REF!</f>
        <v>#REF!</v>
      </c>
      <c r="O114" s="275" t="e">
        <f>N114+#REF!</f>
        <v>#REF!</v>
      </c>
      <c r="P114" s="275" t="e">
        <f>O114+#REF!</f>
        <v>#REF!</v>
      </c>
      <c r="Q114" s="275"/>
    </row>
    <row r="115" spans="1:17">
      <c r="A115" s="283"/>
      <c r="B115" s="275"/>
      <c r="C115" s="275"/>
      <c r="D115" s="275"/>
      <c r="E115" s="275"/>
      <c r="F115" s="275"/>
      <c r="G115" s="275"/>
      <c r="H115" s="275"/>
      <c r="I115" s="275"/>
      <c r="J115" s="275"/>
      <c r="K115" s="275"/>
      <c r="L115" s="275"/>
      <c r="M115" s="275"/>
      <c r="N115" s="275"/>
      <c r="O115" s="275"/>
      <c r="P115" s="275"/>
      <c r="Q115" s="275"/>
    </row>
    <row r="116" spans="1:17">
      <c r="A116" s="378" t="s">
        <v>189</v>
      </c>
      <c r="B116" s="275"/>
      <c r="C116" s="275" t="s">
        <v>190</v>
      </c>
      <c r="D116" s="275" t="s">
        <v>191</v>
      </c>
      <c r="E116" s="275"/>
      <c r="F116" s="275"/>
      <c r="G116" s="275"/>
      <c r="H116" s="275"/>
      <c r="I116" s="275"/>
      <c r="J116" s="275"/>
      <c r="K116" s="275"/>
      <c r="L116" s="275"/>
      <c r="M116" s="275"/>
      <c r="N116" s="275"/>
      <c r="O116" s="275"/>
      <c r="P116" s="275"/>
      <c r="Q116" s="275"/>
    </row>
    <row r="117" spans="1:17">
      <c r="A117" s="283" t="s">
        <v>54</v>
      </c>
      <c r="B117" s="275"/>
      <c r="C117" s="275">
        <f>FUNDING!C45-FUNDING!C41</f>
        <v>0</v>
      </c>
      <c r="D117" s="275">
        <f>C117/12</f>
        <v>0</v>
      </c>
      <c r="E117" s="275"/>
      <c r="F117" s="275"/>
      <c r="G117" s="275"/>
      <c r="H117" s="275"/>
      <c r="I117" s="275"/>
      <c r="J117" s="275"/>
      <c r="K117" s="275"/>
      <c r="L117" s="275"/>
      <c r="M117" s="275"/>
      <c r="N117" s="275"/>
      <c r="O117" s="275"/>
      <c r="P117" s="275"/>
      <c r="Q117" s="275"/>
    </row>
    <row r="118" spans="1:17">
      <c r="A118" s="283" t="s">
        <v>55</v>
      </c>
      <c r="B118" s="275"/>
      <c r="C118" s="275">
        <f>FUNDING!D45-FUNDING!D41</f>
        <v>0</v>
      </c>
      <c r="D118" s="275">
        <f>C118/12</f>
        <v>0</v>
      </c>
      <c r="E118" s="275"/>
      <c r="F118" s="275"/>
      <c r="G118" s="275"/>
      <c r="H118" s="275"/>
      <c r="I118" s="275"/>
      <c r="J118" s="275"/>
      <c r="K118" s="275"/>
      <c r="L118" s="275"/>
      <c r="M118" s="275"/>
      <c r="N118" s="275"/>
      <c r="O118" s="275"/>
      <c r="P118" s="275"/>
      <c r="Q118" s="275"/>
    </row>
    <row r="119" spans="1:17">
      <c r="A119" s="283" t="s">
        <v>56</v>
      </c>
      <c r="B119" s="275"/>
      <c r="C119" s="275">
        <f>FUNDING!E45-FUNDING!E41</f>
        <v>0</v>
      </c>
      <c r="D119" s="275">
        <f>C119/4</f>
        <v>0</v>
      </c>
      <c r="E119" s="275"/>
      <c r="F119" s="275"/>
      <c r="G119" s="275"/>
      <c r="H119" s="275"/>
      <c r="I119" s="275"/>
      <c r="J119" s="275"/>
      <c r="K119" s="275"/>
      <c r="L119" s="275"/>
      <c r="M119" s="275"/>
      <c r="N119" s="275"/>
      <c r="O119" s="275"/>
      <c r="P119" s="275"/>
      <c r="Q119" s="275"/>
    </row>
    <row r="120" spans="1:17">
      <c r="A120" s="283" t="s">
        <v>57</v>
      </c>
      <c r="B120" s="275"/>
      <c r="C120" s="275">
        <f>FUNDING!F45-FUNDING!F41</f>
        <v>0</v>
      </c>
      <c r="D120" s="275">
        <f>C120/4</f>
        <v>0</v>
      </c>
      <c r="E120" s="275"/>
      <c r="F120" s="275"/>
      <c r="G120" s="275"/>
      <c r="H120" s="275"/>
      <c r="I120" s="275"/>
      <c r="J120" s="275"/>
      <c r="K120" s="275"/>
      <c r="L120" s="275"/>
      <c r="M120" s="275"/>
      <c r="N120" s="275"/>
      <c r="O120" s="275"/>
      <c r="P120" s="275"/>
      <c r="Q120" s="275"/>
    </row>
    <row r="121" spans="1:17">
      <c r="A121" s="283" t="s">
        <v>58</v>
      </c>
      <c r="B121" s="275"/>
      <c r="C121" s="275">
        <f>FUNDING!G45-FUNDING!G41</f>
        <v>0</v>
      </c>
      <c r="D121" s="275">
        <f>C121/4</f>
        <v>0</v>
      </c>
      <c r="E121" s="275"/>
      <c r="F121" s="275"/>
      <c r="G121" s="275"/>
      <c r="H121" s="275"/>
      <c r="I121" s="275"/>
      <c r="J121" s="275"/>
      <c r="K121" s="275"/>
      <c r="L121" s="275"/>
      <c r="M121" s="275"/>
      <c r="N121" s="275"/>
      <c r="O121" s="275"/>
      <c r="P121" s="275"/>
      <c r="Q121" s="275"/>
    </row>
    <row r="122" spans="1:17">
      <c r="A122" s="239"/>
      <c r="B122" s="83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4"/>
    </row>
    <row r="123" spans="1:17">
      <c r="A123" s="83"/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4"/>
    </row>
    <row r="124" spans="1:17">
      <c r="A124" s="83"/>
      <c r="B124" s="83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4"/>
    </row>
    <row r="125" spans="1:17">
      <c r="A125" s="83"/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4"/>
    </row>
    <row r="126" spans="1:17">
      <c r="A126" s="37"/>
    </row>
    <row r="127" spans="1:17">
      <c r="A127" s="42"/>
    </row>
    <row r="128" spans="1:17">
      <c r="A128" s="37"/>
    </row>
    <row r="129" spans="1:1">
      <c r="A129" s="42"/>
    </row>
    <row r="130" spans="1:1">
      <c r="A130" s="37"/>
    </row>
    <row r="131" spans="1:1">
      <c r="A131" s="42"/>
    </row>
    <row r="132" spans="1:1">
      <c r="A132" s="37"/>
    </row>
    <row r="133" spans="1:1">
      <c r="A133" s="42"/>
    </row>
    <row r="134" spans="1:1">
      <c r="A134" s="37"/>
    </row>
    <row r="135" spans="1:1">
      <c r="A135" s="42"/>
    </row>
    <row r="136" spans="1:1">
      <c r="A136" s="37"/>
    </row>
    <row r="137" spans="1:1">
      <c r="A137" s="42"/>
    </row>
    <row r="138" spans="1:1">
      <c r="A138" s="37"/>
    </row>
    <row r="139" spans="1:1">
      <c r="A139" s="42"/>
    </row>
    <row r="142" spans="1:1" ht="15">
      <c r="A142" s="151"/>
    </row>
    <row r="144" spans="1:1">
      <c r="A144" s="37"/>
    </row>
    <row r="145" spans="1:1">
      <c r="A145" s="42"/>
    </row>
    <row r="146" spans="1:1">
      <c r="A146" s="37"/>
    </row>
    <row r="147" spans="1:1">
      <c r="A147" s="42"/>
    </row>
    <row r="148" spans="1:1">
      <c r="A148" s="37"/>
    </row>
    <row r="149" spans="1:1">
      <c r="A149" s="42"/>
    </row>
    <row r="150" spans="1:1">
      <c r="A150" s="42"/>
    </row>
    <row r="151" spans="1:1">
      <c r="A151" s="37"/>
    </row>
    <row r="152" spans="1:1">
      <c r="A152" s="37"/>
    </row>
    <row r="153" spans="1:1">
      <c r="A153" s="42"/>
    </row>
    <row r="154" spans="1:1">
      <c r="A154" s="37"/>
    </row>
    <row r="155" spans="1:1">
      <c r="A155" s="88"/>
    </row>
    <row r="156" spans="1:1">
      <c r="A156" s="37"/>
    </row>
    <row r="157" spans="1:1">
      <c r="A157" s="37"/>
    </row>
    <row r="158" spans="1:1">
      <c r="A158" s="37"/>
    </row>
    <row r="159" spans="1:1">
      <c r="A159" s="37"/>
    </row>
    <row r="160" spans="1:1">
      <c r="A160" s="42"/>
    </row>
    <row r="161" spans="1:1">
      <c r="A161" s="37"/>
    </row>
    <row r="162" spans="1:1">
      <c r="A162" s="42"/>
    </row>
    <row r="163" spans="1:1">
      <c r="A163" s="37"/>
    </row>
    <row r="164" spans="1:1">
      <c r="A164" s="42"/>
    </row>
    <row r="165" spans="1:1">
      <c r="A165" s="37"/>
    </row>
    <row r="166" spans="1:1">
      <c r="A166" s="42"/>
    </row>
    <row r="167" spans="1:1">
      <c r="A167" s="37"/>
    </row>
    <row r="168" spans="1:1">
      <c r="A168" s="42"/>
    </row>
    <row r="169" spans="1:1">
      <c r="A169" s="37"/>
    </row>
    <row r="170" spans="1:1">
      <c r="A170" s="42"/>
    </row>
    <row r="171" spans="1:1">
      <c r="A171" s="37"/>
    </row>
    <row r="172" spans="1:1">
      <c r="A172" s="42"/>
    </row>
  </sheetData>
  <mergeCells count="5">
    <mergeCell ref="M112:P112"/>
    <mergeCell ref="C73:G73"/>
    <mergeCell ref="H73:L73"/>
    <mergeCell ref="C112:F112"/>
    <mergeCell ref="H112:K112"/>
  </mergeCells>
  <phoneticPr fontId="0" type="noConversion"/>
  <pageMargins left="0.75" right="0.75" top="0.5" bottom="0.5" header="0.5" footer="0.5"/>
  <pageSetup scale="46" orientation="landscape" horizontalDpi="300" verticalDpi="300"/>
  <headerFooter alignWithMargins="0">
    <oddHeader>&amp;R&amp;D
&amp;T</oddHead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 enableFormatConditionsCalculation="0">
    <pageSetUpPr fitToPage="1"/>
  </sheetPr>
  <dimension ref="A1:V108"/>
  <sheetViews>
    <sheetView topLeftCell="A13" workbookViewId="0">
      <selection activeCell="A17" sqref="A17:XFD17"/>
    </sheetView>
  </sheetViews>
  <sheetFormatPr baseColWidth="10" defaultColWidth="8.7109375" defaultRowHeight="13" x14ac:dyDescent="0"/>
  <cols>
    <col min="1" max="1" width="46.85546875" style="8" bestFit="1" customWidth="1"/>
    <col min="2" max="2" width="10.7109375" style="8" hidden="1" customWidth="1"/>
    <col min="3" max="3" width="11.5703125" style="8" bestFit="1" customWidth="1"/>
    <col min="4" max="11" width="12" style="8" bestFit="1" customWidth="1"/>
    <col min="12" max="12" width="13" style="8" bestFit="1" customWidth="1"/>
    <col min="13" max="13" width="12.5703125" style="8" bestFit="1" customWidth="1"/>
    <col min="14" max="14" width="13" style="8" bestFit="1" customWidth="1"/>
    <col min="15" max="15" width="14.140625" style="8" bestFit="1" customWidth="1"/>
    <col min="16" max="16" width="14.85546875" style="8" bestFit="1" customWidth="1"/>
    <col min="17" max="17" width="11.7109375" style="8" customWidth="1"/>
    <col min="18" max="18" width="13.140625" style="8" customWidth="1"/>
    <col min="19" max="19" width="12.85546875" style="8" customWidth="1"/>
    <col min="20" max="20" width="11.28515625" style="8" customWidth="1"/>
    <col min="21" max="16384" width="8.7109375" style="8"/>
  </cols>
  <sheetData>
    <row r="1" spans="1:17" ht="18">
      <c r="A1" s="168" t="str">
        <f>WORKCAP!A1</f>
        <v>AQUAPONICS FARMING</v>
      </c>
      <c r="B1" s="207"/>
      <c r="C1" s="189"/>
      <c r="D1" s="189"/>
      <c r="E1" s="32"/>
      <c r="F1" s="32"/>
      <c r="G1" s="32"/>
      <c r="H1" s="7"/>
      <c r="I1" s="7"/>
      <c r="J1" s="7"/>
      <c r="K1" s="7"/>
      <c r="L1" s="7"/>
    </row>
    <row r="2" spans="1:17" s="166" customFormat="1" ht="16">
      <c r="A2" s="163" t="s">
        <v>28</v>
      </c>
      <c r="B2" s="164"/>
      <c r="C2" s="164"/>
      <c r="D2" s="164"/>
      <c r="E2" s="164"/>
      <c r="F2" s="164"/>
      <c r="G2" s="164"/>
      <c r="H2" s="165"/>
      <c r="I2" s="165"/>
      <c r="J2" s="165"/>
      <c r="K2" s="165"/>
      <c r="L2" s="165"/>
    </row>
    <row r="3" spans="1:17" s="166" customFormat="1" ht="16">
      <c r="A3" s="163" t="s">
        <v>126</v>
      </c>
      <c r="B3" s="164"/>
      <c r="C3" s="164"/>
      <c r="D3" s="164"/>
      <c r="E3" s="164"/>
      <c r="F3" s="164"/>
      <c r="G3" s="164"/>
      <c r="H3" s="165"/>
      <c r="I3" s="165"/>
      <c r="J3" s="165"/>
      <c r="K3" s="165"/>
      <c r="L3" s="165"/>
    </row>
    <row r="4" spans="1:17" s="166" customFormat="1" ht="16">
      <c r="A4" s="167" t="s">
        <v>75</v>
      </c>
      <c r="B4" s="164"/>
      <c r="C4" s="164"/>
      <c r="D4" s="164"/>
      <c r="E4" s="164"/>
      <c r="F4" s="164"/>
      <c r="G4" s="164"/>
      <c r="H4" s="165"/>
      <c r="I4" s="165"/>
      <c r="J4" s="165"/>
      <c r="K4" s="165"/>
      <c r="L4" s="165"/>
      <c r="P4" s="232"/>
    </row>
    <row r="5" spans="1:17" ht="16">
      <c r="A5" s="163"/>
      <c r="B5" s="164"/>
      <c r="C5" s="164"/>
      <c r="D5" s="164"/>
      <c r="E5" s="164"/>
      <c r="F5" s="164"/>
      <c r="G5" s="164"/>
      <c r="H5" s="165"/>
      <c r="I5" s="165"/>
      <c r="J5" s="165"/>
      <c r="K5" s="165"/>
      <c r="L5" s="165"/>
      <c r="M5" s="166"/>
      <c r="N5" s="166"/>
      <c r="O5" s="166"/>
      <c r="P5" s="232"/>
    </row>
    <row r="6" spans="1:17" ht="16">
      <c r="A6" s="163"/>
      <c r="B6" s="164"/>
      <c r="C6" s="164"/>
      <c r="D6" s="164"/>
      <c r="E6" s="164"/>
      <c r="F6" s="164"/>
      <c r="G6" s="164"/>
      <c r="H6" s="165"/>
      <c r="I6" s="165"/>
      <c r="J6" s="165"/>
      <c r="K6" s="165"/>
      <c r="L6" s="165"/>
      <c r="M6" s="166"/>
      <c r="N6" s="166"/>
      <c r="O6" s="166"/>
      <c r="P6" s="232"/>
    </row>
    <row r="7" spans="1:17" ht="18">
      <c r="A7" s="237" t="str">
        <f>A1</f>
        <v>AQUAPONICS FARMING</v>
      </c>
      <c r="B7" s="164"/>
      <c r="C7" s="164"/>
      <c r="D7" s="164"/>
      <c r="E7" s="164"/>
      <c r="F7" s="164"/>
      <c r="G7" s="164"/>
      <c r="H7" s="165"/>
      <c r="I7" s="165"/>
      <c r="J7" s="165"/>
      <c r="K7" s="165"/>
      <c r="L7" s="165"/>
      <c r="M7" s="166"/>
      <c r="N7" s="166"/>
      <c r="O7" s="166"/>
      <c r="P7" s="232"/>
    </row>
    <row r="8" spans="1:17" ht="16">
      <c r="A8" s="155" t="s">
        <v>192</v>
      </c>
      <c r="B8" s="164"/>
      <c r="C8" s="164"/>
      <c r="D8" s="164"/>
      <c r="E8" s="164"/>
      <c r="F8" s="164"/>
      <c r="G8" s="164"/>
      <c r="H8" s="165"/>
      <c r="I8" s="165"/>
      <c r="J8" s="165"/>
      <c r="K8" s="165"/>
      <c r="L8" s="165"/>
      <c r="M8" s="166"/>
      <c r="N8" s="166"/>
      <c r="O8" s="166"/>
      <c r="P8" s="232" t="s">
        <v>54</v>
      </c>
    </row>
    <row r="9" spans="1:17" ht="16">
      <c r="A9" s="151" t="s">
        <v>126</v>
      </c>
      <c r="B9" s="164"/>
      <c r="C9" s="164"/>
      <c r="D9" s="164"/>
      <c r="E9" s="164"/>
      <c r="F9" s="164"/>
      <c r="G9" s="164"/>
      <c r="H9" s="165"/>
      <c r="I9" s="165"/>
      <c r="J9" s="165"/>
      <c r="K9" s="165"/>
      <c r="L9" s="165"/>
      <c r="M9" s="166"/>
      <c r="N9" s="166"/>
      <c r="O9" s="203" t="s">
        <v>127</v>
      </c>
      <c r="P9" s="232" t="s">
        <v>174</v>
      </c>
    </row>
    <row r="10" spans="1:17" ht="15">
      <c r="A10" s="32"/>
      <c r="B10" s="114"/>
      <c r="C10" s="208" t="s">
        <v>128</v>
      </c>
      <c r="D10" s="208" t="s">
        <v>129</v>
      </c>
      <c r="E10" s="208" t="s">
        <v>130</v>
      </c>
      <c r="F10" s="208" t="s">
        <v>131</v>
      </c>
      <c r="G10" s="208" t="s">
        <v>132</v>
      </c>
      <c r="H10" s="208" t="s">
        <v>133</v>
      </c>
      <c r="I10" s="208" t="s">
        <v>134</v>
      </c>
      <c r="J10" s="208" t="s">
        <v>135</v>
      </c>
      <c r="K10" s="208" t="s">
        <v>136</v>
      </c>
      <c r="L10" s="208" t="s">
        <v>137</v>
      </c>
      <c r="M10" s="208" t="s">
        <v>138</v>
      </c>
      <c r="N10" s="208" t="s">
        <v>139</v>
      </c>
      <c r="O10" s="185" t="s">
        <v>54</v>
      </c>
      <c r="P10" s="236" t="s">
        <v>187</v>
      </c>
    </row>
    <row r="11" spans="1:17">
      <c r="A11" s="130" t="s">
        <v>29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130"/>
    </row>
    <row r="12" spans="1:17">
      <c r="A12" s="32" t="s">
        <v>30</v>
      </c>
      <c r="B12" s="115"/>
      <c r="C12" s="116">
        <f>'INCOME-MOS'!C34</f>
        <v>-633.33333333333337</v>
      </c>
      <c r="D12" s="116">
        <f>'INCOME-MOS'!D34</f>
        <v>-633.33333333333337</v>
      </c>
      <c r="E12" s="116">
        <f>'INCOME-MOS'!E34</f>
        <v>-633.33333333333337</v>
      </c>
      <c r="F12" s="116">
        <f>'INCOME-MOS'!F34</f>
        <v>2499.2172156559195</v>
      </c>
      <c r="G12" s="116">
        <f>'INCOME-MOS'!G34</f>
        <v>4378.747545049463</v>
      </c>
      <c r="H12" s="116">
        <f>'INCOME-MOS'!H34</f>
        <v>5631.767764645173</v>
      </c>
      <c r="I12" s="116">
        <f>'INCOME-MOS'!I34</f>
        <v>5631.767764645173</v>
      </c>
      <c r="J12" s="116">
        <f>'INCOME-MOS'!J34</f>
        <v>6884.7879842408684</v>
      </c>
      <c r="K12" s="116">
        <f>'INCOME-MOS'!K34</f>
        <v>8764.3183136344105</v>
      </c>
      <c r="L12" s="116">
        <f>'INCOME-MOS'!L34</f>
        <v>6884.7879842408684</v>
      </c>
      <c r="M12" s="116">
        <f>'INCOME-MOS'!M34</f>
        <v>7511.298094038716</v>
      </c>
      <c r="N12" s="116">
        <f>'INCOME-MOS'!N34</f>
        <v>8764.3183136344105</v>
      </c>
      <c r="O12" s="122">
        <f>SUM(C12:N12)</f>
        <v>55051.010979784995</v>
      </c>
      <c r="P12" s="116">
        <f>CASHFLOW!C7</f>
        <v>165945.53648043028</v>
      </c>
      <c r="Q12" s="32"/>
    </row>
    <row r="13" spans="1:17">
      <c r="A13" s="32" t="s">
        <v>31</v>
      </c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32"/>
    </row>
    <row r="14" spans="1:17">
      <c r="A14" s="118" t="s">
        <v>86</v>
      </c>
      <c r="B14" s="115"/>
      <c r="C14" s="116">
        <f>-WORKCAP!C54</f>
        <v>0</v>
      </c>
      <c r="D14" s="116">
        <f>-(WORKCAP!$C55-WORKCAP!$C54)</f>
        <v>0</v>
      </c>
      <c r="E14" s="116">
        <f>-(WORKCAP!$C56-WORKCAP!$C55)</f>
        <v>0</v>
      </c>
      <c r="F14" s="116">
        <f>-(WORKCAP!$C57-WORKCAP!$C56)</f>
        <v>-40381.140056438722</v>
      </c>
      <c r="G14" s="116">
        <f>-(WORKCAP!$C58-WORKCAP!$C57)</f>
        <v>-24228.684033863225</v>
      </c>
      <c r="H14" s="116">
        <f>-(WORKCAP!$C59-WORKCAP!$C58)</f>
        <v>-16152.456022575498</v>
      </c>
      <c r="I14" s="116">
        <f>-(WORKCAP!$C60-WORKCAP!$C59)</f>
        <v>0</v>
      </c>
      <c r="J14" s="116">
        <f>-(WORKCAP!$C61-WORKCAP!$C60)</f>
        <v>-16152.456022575469</v>
      </c>
      <c r="K14" s="116">
        <f>-(WORKCAP!$C62-WORKCAP!$C61)</f>
        <v>-24228.684033863232</v>
      </c>
      <c r="L14" s="116">
        <f>-(WORKCAP!$C63-WORKCAP!$C62)</f>
        <v>24228.684033863232</v>
      </c>
      <c r="M14" s="116">
        <f>-(WORKCAP!$C64-WORKCAP!$C63)</f>
        <v>-8076.2280112877634</v>
      </c>
      <c r="N14" s="116">
        <f>-(WORKCAP!$C65-WORKCAP!$C64)</f>
        <v>-16152.456022575469</v>
      </c>
      <c r="O14" s="122">
        <f>SUM(C14:N14)</f>
        <v>-121143.42016931614</v>
      </c>
      <c r="P14" s="116">
        <f>CASHFLOW!C9</f>
        <v>-121143.42016931614</v>
      </c>
      <c r="Q14" s="118"/>
    </row>
    <row r="15" spans="1:17">
      <c r="A15" s="118" t="s">
        <v>87</v>
      </c>
      <c r="B15" s="115"/>
      <c r="C15" s="116">
        <f>-WORKCAP!C71</f>
        <v>0</v>
      </c>
      <c r="D15" s="116">
        <f>-(WORKCAP!$C72-WORKCAP!$C71)</f>
        <v>0</v>
      </c>
      <c r="E15" s="116">
        <f>-(WORKCAP!$C73-WORKCAP!$C72)</f>
        <v>0</v>
      </c>
      <c r="F15" s="116">
        <f>-(WORKCAP!$C74-WORKCAP!$C73)</f>
        <v>-4865.197597161291</v>
      </c>
      <c r="G15" s="116">
        <f>-(WORKCAP!$C75-WORKCAP!$C74)</f>
        <v>-2919.1185582967746</v>
      </c>
      <c r="H15" s="116">
        <f>-(WORKCAP!$C76-WORKCAP!$C75)</f>
        <v>-1946.0790388645164</v>
      </c>
      <c r="I15" s="116">
        <f>-(WORKCAP!$C77-WORKCAP!$C76)</f>
        <v>0</v>
      </c>
      <c r="J15" s="116">
        <f>-(WORKCAP!$C78-WORKCAP!$C77)</f>
        <v>-1946.0790388645164</v>
      </c>
      <c r="K15" s="116">
        <f>-(WORKCAP!$C79-WORKCAP!$C78)</f>
        <v>-2919.1185582967737</v>
      </c>
      <c r="L15" s="116">
        <f>-(WORKCAP!$C80-WORKCAP!$C79)</f>
        <v>2919.1185582967737</v>
      </c>
      <c r="M15" s="116">
        <f>-(WORKCAP!$C81-WORKCAP!$C80)</f>
        <v>-973.03951943225911</v>
      </c>
      <c r="N15" s="116">
        <f>-(WORKCAP!$C82-WORKCAP!$C81)</f>
        <v>-1946.0790388645146</v>
      </c>
      <c r="O15" s="122">
        <f>SUM(C15:N15)</f>
        <v>-14595.592791483872</v>
      </c>
      <c r="P15" s="116" t="e">
        <f>CASHFLOW!#REF!</f>
        <v>#REF!</v>
      </c>
      <c r="Q15" s="118"/>
    </row>
    <row r="16" spans="1:17">
      <c r="A16" s="118" t="s">
        <v>95</v>
      </c>
      <c r="B16" s="115"/>
      <c r="C16" s="116">
        <f>WORKCAP!$C88</f>
        <v>0</v>
      </c>
      <c r="D16" s="116">
        <f>(WORKCAP!$C89-WORKCAP!$C88)</f>
        <v>2.0667000000000005E-2</v>
      </c>
      <c r="E16" s="116">
        <f>(WORKCAP!$C90-WORKCAP!$C89)</f>
        <v>7.4194530000000007</v>
      </c>
      <c r="F16" s="116">
        <f>(WORKCAP!$C91-WORKCAP!$C90)</f>
        <v>20183.129908219362</v>
      </c>
      <c r="G16" s="116">
        <f>(WORKCAP!$C92-WORKCAP!$C91)</f>
        <v>12114.342016931612</v>
      </c>
      <c r="H16" s="116">
        <f>(WORKCAP!$C93-WORKCAP!$C92)</f>
        <v>8076.2280112877488</v>
      </c>
      <c r="I16" s="116">
        <f>(WORKCAP!$C94-WORKCAP!$C93)</f>
        <v>0</v>
      </c>
      <c r="J16" s="116">
        <f>(WORKCAP!$C95-WORKCAP!$C94)</f>
        <v>8076.2280112877343</v>
      </c>
      <c r="K16" s="116">
        <f>(WORKCAP!$C96-WORKCAP!$C95)</f>
        <v>12114.342016931616</v>
      </c>
      <c r="L16" s="116">
        <f>(WORKCAP!$C97-WORKCAP!$C96)</f>
        <v>-12114.342016931616</v>
      </c>
      <c r="M16" s="116">
        <f>(WORKCAP!$C98-WORKCAP!$C97)</f>
        <v>4038.1140056438817</v>
      </c>
      <c r="N16" s="116">
        <f>(WORKCAP!$C99-WORKCAP!$C98)</f>
        <v>8076.2280112877343</v>
      </c>
      <c r="O16" s="122">
        <f>SUM(C16:N16)</f>
        <v>60571.710084658072</v>
      </c>
      <c r="P16" s="116">
        <f>CASHFLOW!C11</f>
        <v>60571.710084658072</v>
      </c>
      <c r="Q16" s="118"/>
    </row>
    <row r="17" spans="1:17">
      <c r="A17" s="118" t="s">
        <v>164</v>
      </c>
      <c r="B17" s="115"/>
      <c r="C17" s="122">
        <f t="shared" ref="C17:O17" si="0">SUM(C12:C16)</f>
        <v>-633.33333333333337</v>
      </c>
      <c r="D17" s="122">
        <f t="shared" si="0"/>
        <v>-633.31266633333337</v>
      </c>
      <c r="E17" s="122">
        <f t="shared" si="0"/>
        <v>-625.9138803333334</v>
      </c>
      <c r="F17" s="122">
        <f t="shared" si="0"/>
        <v>-22563.990529724735</v>
      </c>
      <c r="G17" s="122">
        <f t="shared" si="0"/>
        <v>-10654.713030178922</v>
      </c>
      <c r="H17" s="122">
        <f t="shared" si="0"/>
        <v>-4390.5392855070913</v>
      </c>
      <c r="I17" s="122">
        <f t="shared" si="0"/>
        <v>5631.767764645173</v>
      </c>
      <c r="J17" s="122">
        <f t="shared" si="0"/>
        <v>-3137.5190659113814</v>
      </c>
      <c r="K17" s="122">
        <f t="shared" si="0"/>
        <v>-6269.1422615939809</v>
      </c>
      <c r="L17" s="122">
        <f t="shared" si="0"/>
        <v>21918.248559469263</v>
      </c>
      <c r="M17" s="122">
        <f t="shared" si="0"/>
        <v>2500.1445689625752</v>
      </c>
      <c r="N17" s="122">
        <f t="shared" si="0"/>
        <v>-1257.9887365178383</v>
      </c>
      <c r="O17" s="122">
        <f t="shared" si="0"/>
        <v>-20116.291896356939</v>
      </c>
      <c r="P17" s="116">
        <f>CASHFLOW!C12</f>
        <v>90778.23360428834</v>
      </c>
      <c r="Q17" s="118"/>
    </row>
    <row r="18" spans="1:17">
      <c r="A18" s="32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32"/>
    </row>
    <row r="19" spans="1:17">
      <c r="A19" s="130" t="s">
        <v>32</v>
      </c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30"/>
    </row>
    <row r="20" spans="1:17">
      <c r="A20" s="32" t="s">
        <v>160</v>
      </c>
      <c r="B20" s="115"/>
      <c r="C20" s="116">
        <f>-'PROP &amp; EQUIP'!$C28</f>
        <v>-13833.333333333334</v>
      </c>
      <c r="D20" s="116">
        <f>-'PROP &amp; EQUIP'!$C29</f>
        <v>-13833.333333333334</v>
      </c>
      <c r="E20" s="116">
        <f>-'PROP &amp; EQUIP'!$C30</f>
        <v>-916.66666666666663</v>
      </c>
      <c r="F20" s="116">
        <f>-'PROP &amp; EQUIP'!$C32</f>
        <v>-13833.333333333334</v>
      </c>
      <c r="G20" s="116">
        <f>-'PROP &amp; EQUIP'!$C33</f>
        <v>-13833.333333333334</v>
      </c>
      <c r="H20" s="116">
        <f>-'PROP &amp; EQUIP'!$C34</f>
        <v>-13833.333333333334</v>
      </c>
      <c r="I20" s="116">
        <f>-'PROP &amp; EQUIP'!$C36</f>
        <v>-13833.333333333334</v>
      </c>
      <c r="J20" s="116">
        <f>-'PROP &amp; EQUIP'!$C37</f>
        <v>-13833.333333333334</v>
      </c>
      <c r="K20" s="116">
        <f>-'PROP &amp; EQUIP'!$C38</f>
        <v>-13833.333333333334</v>
      </c>
      <c r="L20" s="116">
        <f>-'PROP &amp; EQUIP'!$C40</f>
        <v>-13833.333333333334</v>
      </c>
      <c r="M20" s="116">
        <f>-'PROP &amp; EQUIP'!$C41</f>
        <v>-13833.333333333334</v>
      </c>
      <c r="N20" s="116">
        <f>-'PROP &amp; EQUIP'!$C42</f>
        <v>-13833.333333333334</v>
      </c>
      <c r="O20" s="122">
        <f>SUM(C20:N20)</f>
        <v>-153083.33333333334</v>
      </c>
      <c r="P20" s="116">
        <f>CASHFLOW!C15</f>
        <v>-166000</v>
      </c>
      <c r="Q20" s="32"/>
    </row>
    <row r="21" spans="1:17">
      <c r="A21" s="123" t="s">
        <v>88</v>
      </c>
      <c r="B21" s="115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5">
        <f>SUM(C21:N21)</f>
        <v>0</v>
      </c>
      <c r="P21" s="124">
        <f>CASHFLOW!C16</f>
        <v>0</v>
      </c>
      <c r="Q21" s="123"/>
    </row>
    <row r="22" spans="1:17">
      <c r="A22" s="118" t="s">
        <v>33</v>
      </c>
      <c r="B22" s="115"/>
      <c r="C22" s="122">
        <f>SUM(C20:C21)</f>
        <v>-13833.333333333334</v>
      </c>
      <c r="D22" s="122">
        <f t="shared" ref="D22:O22" si="1">SUM(D20:D21)</f>
        <v>-13833.333333333334</v>
      </c>
      <c r="E22" s="122">
        <f t="shared" si="1"/>
        <v>-916.66666666666663</v>
      </c>
      <c r="F22" s="122">
        <f t="shared" si="1"/>
        <v>-13833.333333333334</v>
      </c>
      <c r="G22" s="122">
        <f t="shared" si="1"/>
        <v>-13833.333333333334</v>
      </c>
      <c r="H22" s="122">
        <f t="shared" si="1"/>
        <v>-13833.333333333334</v>
      </c>
      <c r="I22" s="122">
        <f t="shared" si="1"/>
        <v>-13833.333333333334</v>
      </c>
      <c r="J22" s="122">
        <f t="shared" si="1"/>
        <v>-13833.333333333334</v>
      </c>
      <c r="K22" s="122">
        <f t="shared" si="1"/>
        <v>-13833.333333333334</v>
      </c>
      <c r="L22" s="122">
        <f t="shared" si="1"/>
        <v>-13833.333333333334</v>
      </c>
      <c r="M22" s="122">
        <f t="shared" si="1"/>
        <v>-13833.333333333334</v>
      </c>
      <c r="N22" s="122">
        <f t="shared" si="1"/>
        <v>-13833.333333333334</v>
      </c>
      <c r="O22" s="122">
        <f t="shared" si="1"/>
        <v>-153083.33333333334</v>
      </c>
      <c r="P22" s="116">
        <f>CASHFLOW!C17</f>
        <v>-166000</v>
      </c>
      <c r="Q22" s="118"/>
    </row>
    <row r="23" spans="1:17">
      <c r="A23" s="32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32"/>
    </row>
    <row r="24" spans="1:17">
      <c r="A24" s="130" t="s">
        <v>34</v>
      </c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30"/>
    </row>
    <row r="25" spans="1:17">
      <c r="A25" s="32" t="s">
        <v>35</v>
      </c>
      <c r="B25" s="115"/>
      <c r="C25" s="116">
        <f>IF(FUNDING!C19&gt;=0,FUNDING!C19,0)</f>
        <v>0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>
        <f>IF(FUNDING!C19&lt;0,FUNDING!C19,0)</f>
        <v>0</v>
      </c>
      <c r="O25" s="122">
        <f>SUM(C25:N25)</f>
        <v>0</v>
      </c>
      <c r="P25" s="116">
        <f>CASHFLOW!C20</f>
        <v>0</v>
      </c>
      <c r="Q25" s="32"/>
    </row>
    <row r="26" spans="1:17">
      <c r="A26" s="32" t="s">
        <v>36</v>
      </c>
      <c r="B26" s="115"/>
      <c r="C26" s="116">
        <f>IF(FUNDING!C27&gt;=0,FUNDING!C27,0)</f>
        <v>0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>
        <f>IF(FUNDING!C27&lt;0,FUNDING!C27,0)</f>
        <v>0</v>
      </c>
      <c r="O26" s="122">
        <f t="shared" ref="O26:O31" si="2">SUM(C26:N26)</f>
        <v>0</v>
      </c>
      <c r="P26" s="116">
        <f>CASHFLOW!C21</f>
        <v>0</v>
      </c>
      <c r="Q26" s="32"/>
    </row>
    <row r="27" spans="1:17">
      <c r="A27" s="32" t="s">
        <v>61</v>
      </c>
      <c r="B27" s="115"/>
      <c r="C27" s="116">
        <f>IF(FUNDING!C28&gt;=0,FUNDING!C28,0)</f>
        <v>0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>
        <f>IF(FUNDING!C28&lt;0,FUNDING!C28,0)</f>
        <v>0</v>
      </c>
      <c r="O27" s="122">
        <f t="shared" si="2"/>
        <v>0</v>
      </c>
      <c r="P27" s="116">
        <f>CASHFLOW!C22</f>
        <v>0</v>
      </c>
      <c r="Q27" s="32"/>
    </row>
    <row r="28" spans="1:17">
      <c r="A28" s="32" t="s">
        <v>37</v>
      </c>
      <c r="B28" s="115"/>
      <c r="C28" s="116">
        <f>IF(FUNDING!C9&gt;=0,FUNDING!C9,0)</f>
        <v>0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>
        <f>IF(FUNDING!C9&lt;0,FUNDING!C9,0)</f>
        <v>0</v>
      </c>
      <c r="O28" s="122">
        <f t="shared" si="2"/>
        <v>0</v>
      </c>
      <c r="P28" s="116">
        <f>CASHFLOW!C23</f>
        <v>0</v>
      </c>
      <c r="Q28" s="32"/>
    </row>
    <row r="29" spans="1:17">
      <c r="A29" s="32" t="s">
        <v>38</v>
      </c>
      <c r="B29" s="115"/>
      <c r="C29" s="116">
        <f>IF(FUNDING!C14&gt;=0,FUNDING!C14,0)</f>
        <v>0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>
        <f>IF(FUNDING!C14&lt;0,FUNDING!C14,0)</f>
        <v>0</v>
      </c>
      <c r="O29" s="122">
        <f t="shared" si="2"/>
        <v>0</v>
      </c>
      <c r="P29" s="116">
        <f>CASHFLOW!C24</f>
        <v>0</v>
      </c>
      <c r="Q29" s="32"/>
    </row>
    <row r="30" spans="1:17">
      <c r="A30" s="32" t="s">
        <v>39</v>
      </c>
      <c r="B30" s="120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>
        <f>-FUNDING!C49</f>
        <v>0</v>
      </c>
      <c r="O30" s="125">
        <f t="shared" si="2"/>
        <v>0</v>
      </c>
      <c r="P30" s="124">
        <f>CASHFLOW!C25</f>
        <v>0</v>
      </c>
      <c r="Q30" s="32"/>
    </row>
    <row r="31" spans="1:17">
      <c r="A31" s="118" t="s">
        <v>40</v>
      </c>
      <c r="B31" s="120"/>
      <c r="C31" s="122">
        <f>SUM(C25:C30)</f>
        <v>0</v>
      </c>
      <c r="D31" s="122">
        <f t="shared" ref="D31:N31" si="3">SUM(D25:D30)</f>
        <v>0</v>
      </c>
      <c r="E31" s="122">
        <f t="shared" si="3"/>
        <v>0</v>
      </c>
      <c r="F31" s="122">
        <f t="shared" si="3"/>
        <v>0</v>
      </c>
      <c r="G31" s="122">
        <f t="shared" si="3"/>
        <v>0</v>
      </c>
      <c r="H31" s="122">
        <f t="shared" si="3"/>
        <v>0</v>
      </c>
      <c r="I31" s="122">
        <f t="shared" si="3"/>
        <v>0</v>
      </c>
      <c r="J31" s="122">
        <f t="shared" si="3"/>
        <v>0</v>
      </c>
      <c r="K31" s="122">
        <f t="shared" si="3"/>
        <v>0</v>
      </c>
      <c r="L31" s="122">
        <f t="shared" si="3"/>
        <v>0</v>
      </c>
      <c r="M31" s="122">
        <f t="shared" si="3"/>
        <v>0</v>
      </c>
      <c r="N31" s="122">
        <f t="shared" si="3"/>
        <v>0</v>
      </c>
      <c r="O31" s="122">
        <f t="shared" si="2"/>
        <v>0</v>
      </c>
      <c r="P31" s="116">
        <f>CASHFLOW!C26</f>
        <v>0</v>
      </c>
      <c r="Q31" s="118"/>
    </row>
    <row r="32" spans="1:17">
      <c r="A32" s="32"/>
      <c r="B32" s="120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32"/>
    </row>
    <row r="33" spans="1:17">
      <c r="A33" s="130" t="s">
        <v>85</v>
      </c>
      <c r="B33" s="120"/>
      <c r="C33" s="125">
        <f>C17+C22+C31</f>
        <v>-14466.666666666668</v>
      </c>
      <c r="D33" s="125">
        <f t="shared" ref="D33:N33" si="4">D17+D22+D31</f>
        <v>-14466.645999666667</v>
      </c>
      <c r="E33" s="125">
        <f t="shared" si="4"/>
        <v>-1542.580547</v>
      </c>
      <c r="F33" s="125">
        <f t="shared" si="4"/>
        <v>-36397.323863058067</v>
      </c>
      <c r="G33" s="125">
        <f t="shared" si="4"/>
        <v>-24488.046363512258</v>
      </c>
      <c r="H33" s="125">
        <f t="shared" si="4"/>
        <v>-18223.872618840425</v>
      </c>
      <c r="I33" s="125">
        <f t="shared" si="4"/>
        <v>-8201.5655686881619</v>
      </c>
      <c r="J33" s="125">
        <f t="shared" si="4"/>
        <v>-16970.852399244715</v>
      </c>
      <c r="K33" s="125">
        <f t="shared" si="4"/>
        <v>-20102.475594927317</v>
      </c>
      <c r="L33" s="125">
        <f t="shared" si="4"/>
        <v>8084.9152261359286</v>
      </c>
      <c r="M33" s="125">
        <f t="shared" si="4"/>
        <v>-11333.18876437076</v>
      </c>
      <c r="N33" s="125">
        <f t="shared" si="4"/>
        <v>-15091.322069851172</v>
      </c>
      <c r="O33" s="125">
        <f>SUM(C33:N33)</f>
        <v>-173199.62522969028</v>
      </c>
      <c r="P33" s="386">
        <f>CASHFLOW!C28</f>
        <v>-75221.76639571166</v>
      </c>
      <c r="Q33" s="130"/>
    </row>
    <row r="34" spans="1:17">
      <c r="A34" s="32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32"/>
    </row>
    <row r="35" spans="1:17">
      <c r="A35" s="130" t="s">
        <v>308</v>
      </c>
      <c r="B35" s="115"/>
      <c r="C35" s="122">
        <f>'BALANCE SHEET'!B9</f>
        <v>1000000</v>
      </c>
      <c r="D35" s="122">
        <f>C36</f>
        <v>985533.33333333337</v>
      </c>
      <c r="E35" s="122">
        <f t="shared" ref="E35:N35" si="5">D36</f>
        <v>971066.68733366672</v>
      </c>
      <c r="F35" s="122">
        <f t="shared" si="5"/>
        <v>969524.10678666667</v>
      </c>
      <c r="G35" s="122">
        <f t="shared" si="5"/>
        <v>933126.78292360855</v>
      </c>
      <c r="H35" s="122">
        <f t="shared" si="5"/>
        <v>908638.73656009627</v>
      </c>
      <c r="I35" s="122">
        <f t="shared" si="5"/>
        <v>890414.86394125584</v>
      </c>
      <c r="J35" s="122">
        <f t="shared" si="5"/>
        <v>882213.29837256763</v>
      </c>
      <c r="K35" s="122">
        <f t="shared" si="5"/>
        <v>865242.44597332296</v>
      </c>
      <c r="L35" s="122">
        <f t="shared" si="5"/>
        <v>845139.97037839564</v>
      </c>
      <c r="M35" s="122">
        <f t="shared" si="5"/>
        <v>853224.88560453162</v>
      </c>
      <c r="N35" s="122">
        <f t="shared" si="5"/>
        <v>841891.69684016088</v>
      </c>
      <c r="O35" s="115"/>
      <c r="P35" s="116">
        <f>CASHFLOW!C30</f>
        <v>1000000</v>
      </c>
      <c r="Q35" s="130"/>
    </row>
    <row r="36" spans="1:17">
      <c r="A36" s="130" t="s">
        <v>307</v>
      </c>
      <c r="B36" s="41" t="e">
        <f>'BALANCE SHEET'!Cash_Begin</f>
        <v>#NAME?</v>
      </c>
      <c r="C36" s="122">
        <f>C35+C33</f>
        <v>985533.33333333337</v>
      </c>
      <c r="D36" s="122">
        <f>D35+D33</f>
        <v>971066.68733366672</v>
      </c>
      <c r="E36" s="122">
        <f t="shared" ref="E36:N36" si="6">E35+E33</f>
        <v>969524.10678666667</v>
      </c>
      <c r="F36" s="122">
        <f t="shared" si="6"/>
        <v>933126.78292360855</v>
      </c>
      <c r="G36" s="122">
        <f t="shared" si="6"/>
        <v>908638.73656009627</v>
      </c>
      <c r="H36" s="122">
        <f t="shared" si="6"/>
        <v>890414.86394125584</v>
      </c>
      <c r="I36" s="122">
        <f t="shared" si="6"/>
        <v>882213.29837256763</v>
      </c>
      <c r="J36" s="122">
        <f t="shared" si="6"/>
        <v>865242.44597332296</v>
      </c>
      <c r="K36" s="122">
        <f t="shared" si="6"/>
        <v>845139.97037839564</v>
      </c>
      <c r="L36" s="122">
        <f t="shared" si="6"/>
        <v>853224.88560453162</v>
      </c>
      <c r="M36" s="122">
        <f t="shared" si="6"/>
        <v>841891.69684016088</v>
      </c>
      <c r="N36" s="122">
        <f t="shared" si="6"/>
        <v>826800.37477030966</v>
      </c>
      <c r="O36" s="115"/>
      <c r="P36" s="116">
        <f>CASHFLOW!C31</f>
        <v>924778.23360428831</v>
      </c>
      <c r="Q36" s="130"/>
    </row>
    <row r="37" spans="1:17"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</row>
    <row r="38" spans="1:17"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</row>
    <row r="39" spans="1:17"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</row>
    <row r="40" spans="1:17" ht="18">
      <c r="A40" s="237" t="str">
        <f>A1</f>
        <v>AQUAPONICS FARMING</v>
      </c>
      <c r="B40" s="164"/>
      <c r="C40" s="164"/>
      <c r="D40" s="164"/>
      <c r="E40" s="164"/>
      <c r="F40" s="164"/>
      <c r="G40" s="164"/>
      <c r="H40" s="165"/>
      <c r="I40" s="165"/>
      <c r="J40" s="165"/>
      <c r="K40" s="165"/>
      <c r="L40" s="165"/>
      <c r="M40" s="166"/>
      <c r="N40" s="166"/>
      <c r="O40" s="166"/>
      <c r="P40" s="232"/>
    </row>
    <row r="41" spans="1:17" ht="16">
      <c r="A41" s="155" t="s">
        <v>192</v>
      </c>
      <c r="B41" s="164"/>
      <c r="C41" s="164"/>
      <c r="D41" s="164"/>
      <c r="E41" s="164"/>
      <c r="F41" s="164"/>
      <c r="G41" s="164"/>
      <c r="H41" s="165"/>
      <c r="I41" s="165"/>
      <c r="J41" s="165"/>
      <c r="K41" s="165"/>
      <c r="L41" s="165"/>
      <c r="M41" s="166"/>
      <c r="N41" s="166"/>
      <c r="O41" s="166"/>
      <c r="P41" s="232" t="s">
        <v>55</v>
      </c>
    </row>
    <row r="42" spans="1:17" ht="16">
      <c r="A42" s="151" t="s">
        <v>177</v>
      </c>
      <c r="B42" s="164"/>
      <c r="C42" s="164"/>
      <c r="D42" s="164"/>
      <c r="E42" s="164"/>
      <c r="F42" s="164"/>
      <c r="G42" s="164"/>
      <c r="H42" s="165"/>
      <c r="I42" s="165"/>
      <c r="J42" s="165"/>
      <c r="K42" s="165"/>
      <c r="L42" s="165"/>
      <c r="M42" s="166"/>
      <c r="N42" s="166"/>
      <c r="O42" s="203" t="s">
        <v>127</v>
      </c>
      <c r="P42" s="232" t="s">
        <v>174</v>
      </c>
    </row>
    <row r="43" spans="1:17" ht="15">
      <c r="A43" s="32"/>
      <c r="B43" s="114"/>
      <c r="C43" s="208" t="s">
        <v>128</v>
      </c>
      <c r="D43" s="208" t="s">
        <v>129</v>
      </c>
      <c r="E43" s="208" t="s">
        <v>130</v>
      </c>
      <c r="F43" s="208" t="s">
        <v>131</v>
      </c>
      <c r="G43" s="208" t="s">
        <v>132</v>
      </c>
      <c r="H43" s="208" t="s">
        <v>133</v>
      </c>
      <c r="I43" s="208" t="s">
        <v>134</v>
      </c>
      <c r="J43" s="208" t="s">
        <v>135</v>
      </c>
      <c r="K43" s="208" t="s">
        <v>136</v>
      </c>
      <c r="L43" s="208" t="s">
        <v>137</v>
      </c>
      <c r="M43" s="208" t="s">
        <v>138</v>
      </c>
      <c r="N43" s="208" t="s">
        <v>139</v>
      </c>
      <c r="O43" s="185" t="s">
        <v>55</v>
      </c>
      <c r="P43" s="236" t="s">
        <v>187</v>
      </c>
    </row>
    <row r="44" spans="1:17">
      <c r="A44" s="130" t="s">
        <v>29</v>
      </c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130"/>
    </row>
    <row r="45" spans="1:17">
      <c r="A45" s="32" t="s">
        <v>30</v>
      </c>
      <c r="B45" s="115"/>
      <c r="C45" s="116">
        <f>'INCOME-MOS'!C66</f>
        <v>13346.997460462793</v>
      </c>
      <c r="D45" s="116">
        <f>'INCOME-MOS'!D66</f>
        <v>13346.997460462793</v>
      </c>
      <c r="E45" s="116">
        <f>'INCOME-MOS'!E66</f>
        <v>13346.997460462793</v>
      </c>
      <c r="F45" s="116">
        <f>'INCOME-MOS'!F66</f>
        <v>13346.997460462793</v>
      </c>
      <c r="G45" s="116">
        <f>'INCOME-MOS'!G66</f>
        <v>11678.622777904951</v>
      </c>
      <c r="H45" s="116">
        <f>'INCOME-MOS'!H66</f>
        <v>11678.622777904951</v>
      </c>
      <c r="I45" s="116">
        <f>'INCOME-MOS'!I66</f>
        <v>13346.997460462793</v>
      </c>
      <c r="J45" s="116">
        <f>'INCOME-MOS'!J66</f>
        <v>13346.997460462793</v>
      </c>
      <c r="K45" s="116">
        <f>'INCOME-MOS'!K66</f>
        <v>13346.997460462793</v>
      </c>
      <c r="L45" s="116">
        <f>'INCOME-MOS'!L66</f>
        <v>18352.121508136348</v>
      </c>
      <c r="M45" s="116">
        <f>'INCOME-MOS'!M66</f>
        <v>15015.372143020635</v>
      </c>
      <c r="N45" s="116">
        <f>'INCOME-MOS'!N66</f>
        <v>16683.746825578499</v>
      </c>
      <c r="O45" s="122">
        <f>SUM(C45:N45)</f>
        <v>166837.46825578494</v>
      </c>
      <c r="P45" s="116">
        <f>CASHFLOW!D7</f>
        <v>294774.29090943001</v>
      </c>
      <c r="Q45" s="32"/>
    </row>
    <row r="46" spans="1:17">
      <c r="A46" s="32" t="s">
        <v>31</v>
      </c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6">
        <f>CASHFLOW!D8</f>
        <v>0</v>
      </c>
      <c r="Q46" s="32"/>
    </row>
    <row r="47" spans="1:17">
      <c r="A47" s="118" t="s">
        <v>86</v>
      </c>
      <c r="B47" s="115"/>
      <c r="C47" s="116">
        <f>-(WORKCAP!$D54-WORKCAP!$C65)</f>
        <v>46857.145701510206</v>
      </c>
      <c r="D47" s="116">
        <f>-(WORKCAP!$D55-WORKCAP!$D54)</f>
        <v>0</v>
      </c>
      <c r="E47" s="116">
        <f>-(WORKCAP!$D56-WORKCAP!$D55)</f>
        <v>0</v>
      </c>
      <c r="F47" s="116">
        <f>-(WORKCAP!$D57-WORKCAP!$D56)</f>
        <v>0</v>
      </c>
      <c r="G47" s="116">
        <f>-(WORKCAP!$D58-WORKCAP!$D57)</f>
        <v>9285.784308475726</v>
      </c>
      <c r="H47" s="116">
        <f>-(WORKCAP!$D59-WORKCAP!$D58)</f>
        <v>0</v>
      </c>
      <c r="I47" s="116">
        <f>-(WORKCAP!$D60-WORKCAP!$D59)</f>
        <v>-9285.784308475726</v>
      </c>
      <c r="J47" s="116">
        <f>-(WORKCAP!$D61-WORKCAP!$D60)</f>
        <v>0</v>
      </c>
      <c r="K47" s="116">
        <f>-(WORKCAP!$D62-WORKCAP!$D61)</f>
        <v>0</v>
      </c>
      <c r="L47" s="116">
        <f>-(WORKCAP!$D63-WORKCAP!$D62)</f>
        <v>-27857.352925427243</v>
      </c>
      <c r="M47" s="116">
        <f>-(WORKCAP!$D64-WORKCAP!$D63)</f>
        <v>18571.568616951496</v>
      </c>
      <c r="N47" s="116">
        <f>-(WORKCAP!$D65-WORKCAP!$D64)</f>
        <v>-9285.7843084757624</v>
      </c>
      <c r="O47" s="122">
        <f t="shared" ref="O47:O51" si="7">SUM(C47:N47)</f>
        <v>28285.577084558696</v>
      </c>
      <c r="P47" s="116">
        <f>CASHFLOW!D9</f>
        <v>28285.577084558696</v>
      </c>
      <c r="Q47" s="118"/>
    </row>
    <row r="48" spans="1:17">
      <c r="A48" s="118" t="s">
        <v>87</v>
      </c>
      <c r="B48" s="115"/>
      <c r="C48" s="116">
        <f>-(WORKCAP!$D71-WORKCAP!$C82)</f>
        <v>5645.4392411458066</v>
      </c>
      <c r="D48" s="116">
        <f>-(WORKCAP!$D72-WORKCAP!$D71)</f>
        <v>0</v>
      </c>
      <c r="E48" s="116">
        <f>-(WORKCAP!$D73-WORKCAP!$D72)</f>
        <v>0</v>
      </c>
      <c r="F48" s="116">
        <f>-(WORKCAP!$D74-WORKCAP!$D73)</f>
        <v>0</v>
      </c>
      <c r="G48" s="116">
        <f>-(WORKCAP!$D75-WORKCAP!$D74)</f>
        <v>1118.7691937922573</v>
      </c>
      <c r="H48" s="116">
        <f>-(WORKCAP!$D76-WORKCAP!$D75)</f>
        <v>0</v>
      </c>
      <c r="I48" s="116">
        <f>-(WORKCAP!$D77-WORKCAP!$D76)</f>
        <v>-1118.7691937922573</v>
      </c>
      <c r="J48" s="116">
        <f>-(WORKCAP!$D78-WORKCAP!$D77)</f>
        <v>0</v>
      </c>
      <c r="K48" s="116">
        <f>-(WORKCAP!$D79-WORKCAP!$D78)</f>
        <v>0</v>
      </c>
      <c r="L48" s="116">
        <f>-(WORKCAP!$D80-WORKCAP!$D79)</f>
        <v>-3356.3075813767737</v>
      </c>
      <c r="M48" s="116">
        <f>-(WORKCAP!$D81-WORKCAP!$D80)</f>
        <v>2237.5383875845146</v>
      </c>
      <c r="N48" s="116">
        <f>-(WORKCAP!$D82-WORKCAP!$D81)</f>
        <v>-1118.7691937922591</v>
      </c>
      <c r="O48" s="122">
        <f t="shared" si="7"/>
        <v>3407.9008535612884</v>
      </c>
      <c r="P48" s="116" t="e">
        <f>CASHFLOW!#REF!</f>
        <v>#REF!</v>
      </c>
      <c r="Q48" s="118"/>
    </row>
    <row r="49" spans="1:17">
      <c r="A49" s="118" t="s">
        <v>95</v>
      </c>
      <c r="B49" s="115"/>
      <c r="C49" s="116">
        <f>(WORKCAP!$D88-WORKCAP!$C99)</f>
        <v>-60571.710084658072</v>
      </c>
      <c r="D49" s="116">
        <f>(WORKCAP!$D89-WORKCAP!$D88)</f>
        <v>2.1168000000000003E-2</v>
      </c>
      <c r="E49" s="116">
        <f>(WORKCAP!$D90-WORKCAP!$D89)</f>
        <v>7.5993120000000003</v>
      </c>
      <c r="F49" s="116">
        <f>(WORKCAP!$D91-WORKCAP!$D90)</f>
        <v>37583.024431419872</v>
      </c>
      <c r="G49" s="116">
        <f>(WORKCAP!$D92-WORKCAP!$D91)</f>
        <v>-4698.8306139274791</v>
      </c>
      <c r="H49" s="116">
        <f>(WORKCAP!$D93-WORKCAP!$D92)</f>
        <v>0</v>
      </c>
      <c r="I49" s="116">
        <f>(WORKCAP!$D94-WORKCAP!$D93)</f>
        <v>4698.8306139274791</v>
      </c>
      <c r="J49" s="116">
        <f>(WORKCAP!$D95-WORKCAP!$D94)</f>
        <v>0</v>
      </c>
      <c r="K49" s="116">
        <f>(WORKCAP!$D96-WORKCAP!$D95)</f>
        <v>0</v>
      </c>
      <c r="L49" s="116">
        <f>(WORKCAP!$D97-WORKCAP!$D96)</f>
        <v>14096.491841782452</v>
      </c>
      <c r="M49" s="116">
        <f>(WORKCAP!$D98-WORKCAP!$D97)</f>
        <v>-9397.6612278549655</v>
      </c>
      <c r="N49" s="116">
        <f>(WORKCAP!$D99-WORKCAP!$D98)</f>
        <v>4698.8306139274864</v>
      </c>
      <c r="O49" s="122">
        <f t="shared" si="7"/>
        <v>-13583.40394538323</v>
      </c>
      <c r="P49" s="116">
        <f>CASHFLOW!D11</f>
        <v>-13583.40394538323</v>
      </c>
      <c r="Q49" s="118"/>
    </row>
    <row r="50" spans="1:17">
      <c r="A50" s="118" t="s">
        <v>112</v>
      </c>
      <c r="B50" s="120"/>
      <c r="C50" s="124" t="e">
        <f>(WORKCAP!#REF!-WORKCAP!#REF!)</f>
        <v>#REF!</v>
      </c>
      <c r="D50" s="124" t="e">
        <f>(WORKCAP!#REF!-WORKCAP!#REF!)</f>
        <v>#REF!</v>
      </c>
      <c r="E50" s="124" t="e">
        <f>(WORKCAP!#REF!-WORKCAP!#REF!)</f>
        <v>#REF!</v>
      </c>
      <c r="F50" s="124" t="e">
        <f>(WORKCAP!#REF!-WORKCAP!#REF!)</f>
        <v>#REF!</v>
      </c>
      <c r="G50" s="124" t="e">
        <f>(WORKCAP!#REF!-WORKCAP!#REF!)</f>
        <v>#REF!</v>
      </c>
      <c r="H50" s="124" t="e">
        <f>(WORKCAP!#REF!-WORKCAP!#REF!)</f>
        <v>#REF!</v>
      </c>
      <c r="I50" s="124" t="e">
        <f>(WORKCAP!#REF!-WORKCAP!#REF!)</f>
        <v>#REF!</v>
      </c>
      <c r="J50" s="124" t="e">
        <f>(WORKCAP!#REF!-WORKCAP!#REF!)</f>
        <v>#REF!</v>
      </c>
      <c r="K50" s="124" t="e">
        <f>(WORKCAP!#REF!-WORKCAP!#REF!)</f>
        <v>#REF!</v>
      </c>
      <c r="L50" s="124" t="e">
        <f>(WORKCAP!#REF!-WORKCAP!#REF!)</f>
        <v>#REF!</v>
      </c>
      <c r="M50" s="124" t="e">
        <f>(WORKCAP!#REF!-WORKCAP!#REF!)</f>
        <v>#REF!</v>
      </c>
      <c r="N50" s="124" t="e">
        <f>(WORKCAP!#REF!-WORKCAP!#REF!)</f>
        <v>#REF!</v>
      </c>
      <c r="O50" s="125" t="e">
        <f t="shared" si="7"/>
        <v>#REF!</v>
      </c>
      <c r="P50" s="124" t="e">
        <f>CASHFLOW!#REF!</f>
        <v>#REF!</v>
      </c>
      <c r="Q50" s="118"/>
    </row>
    <row r="51" spans="1:17">
      <c r="A51" s="118" t="s">
        <v>164</v>
      </c>
      <c r="B51" s="115"/>
      <c r="C51" s="122" t="e">
        <f t="shared" ref="C51:N51" si="8">SUM(C45:C50)</f>
        <v>#REF!</v>
      </c>
      <c r="D51" s="122" t="e">
        <f t="shared" si="8"/>
        <v>#REF!</v>
      </c>
      <c r="E51" s="122" t="e">
        <f t="shared" si="8"/>
        <v>#REF!</v>
      </c>
      <c r="F51" s="122" t="e">
        <f t="shared" si="8"/>
        <v>#REF!</v>
      </c>
      <c r="G51" s="122" t="e">
        <f t="shared" si="8"/>
        <v>#REF!</v>
      </c>
      <c r="H51" s="122" t="e">
        <f t="shared" si="8"/>
        <v>#REF!</v>
      </c>
      <c r="I51" s="122" t="e">
        <f t="shared" si="8"/>
        <v>#REF!</v>
      </c>
      <c r="J51" s="122" t="e">
        <f t="shared" si="8"/>
        <v>#REF!</v>
      </c>
      <c r="K51" s="122" t="e">
        <f t="shared" si="8"/>
        <v>#REF!</v>
      </c>
      <c r="L51" s="122" t="e">
        <f t="shared" si="8"/>
        <v>#REF!</v>
      </c>
      <c r="M51" s="122" t="e">
        <f t="shared" si="8"/>
        <v>#REF!</v>
      </c>
      <c r="N51" s="122" t="e">
        <f t="shared" si="8"/>
        <v>#REF!</v>
      </c>
      <c r="O51" s="122" t="e">
        <f t="shared" si="7"/>
        <v>#REF!</v>
      </c>
      <c r="P51" s="116">
        <f>CASHFLOW!D12</f>
        <v>298288.77211068291</v>
      </c>
      <c r="Q51" s="118"/>
    </row>
    <row r="52" spans="1:17">
      <c r="A52" s="32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7">
        <f>CASHFLOW!D13</f>
        <v>0</v>
      </c>
      <c r="Q52" s="32"/>
    </row>
    <row r="53" spans="1:17">
      <c r="A53" s="130" t="s">
        <v>32</v>
      </c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7">
        <f>CASHFLOW!D14</f>
        <v>0</v>
      </c>
      <c r="Q53" s="130"/>
    </row>
    <row r="54" spans="1:17">
      <c r="A54" s="32" t="s">
        <v>160</v>
      </c>
      <c r="B54" s="115"/>
      <c r="C54" s="116">
        <f>-'PROP &amp; EQUIP'!$D28</f>
        <v>-916.66666666666663</v>
      </c>
      <c r="D54" s="116">
        <f>-'PROP &amp; EQUIP'!$D29</f>
        <v>-916.66666666666663</v>
      </c>
      <c r="E54" s="116">
        <f>-'PROP &amp; EQUIP'!$D30</f>
        <v>-916.66666666666663</v>
      </c>
      <c r="F54" s="116">
        <f>-'PROP &amp; EQUIP'!$D32</f>
        <v>-916.66666666666663</v>
      </c>
      <c r="G54" s="116">
        <f>-'PROP &amp; EQUIP'!$D33</f>
        <v>-916.66666666666663</v>
      </c>
      <c r="H54" s="116">
        <f>-'PROP &amp; EQUIP'!$D34</f>
        <v>-916.66666666666663</v>
      </c>
      <c r="I54" s="116">
        <f>-'PROP &amp; EQUIP'!$D36</f>
        <v>-916.66666666666663</v>
      </c>
      <c r="J54" s="116">
        <f>-'PROP &amp; EQUIP'!$D37</f>
        <v>-916.66666666666663</v>
      </c>
      <c r="K54" s="116">
        <f>-'PROP &amp; EQUIP'!$D38</f>
        <v>-916.66666666666663</v>
      </c>
      <c r="L54" s="116">
        <f>-'PROP &amp; EQUIP'!$D40</f>
        <v>-916.66666666666663</v>
      </c>
      <c r="M54" s="116">
        <f>-'PROP &amp; EQUIP'!$D41</f>
        <v>-916.66666666666663</v>
      </c>
      <c r="N54" s="116">
        <f>-'PROP &amp; EQUIP'!$D42</f>
        <v>-916.66666666666663</v>
      </c>
      <c r="O54" s="122">
        <f>SUM(C54:N54)</f>
        <v>-10999.999999999998</v>
      </c>
      <c r="P54" s="116">
        <f>CASHFLOW!D15</f>
        <v>-11000</v>
      </c>
      <c r="Q54" s="32"/>
    </row>
    <row r="55" spans="1:17">
      <c r="A55" s="123" t="s">
        <v>88</v>
      </c>
      <c r="B55" s="115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5">
        <f>SUM(C55:N55)</f>
        <v>0</v>
      </c>
      <c r="P55" s="124">
        <f>CASHFLOW!D16</f>
        <v>0</v>
      </c>
      <c r="Q55" s="123"/>
    </row>
    <row r="56" spans="1:17">
      <c r="A56" s="118" t="s">
        <v>33</v>
      </c>
      <c r="B56" s="115"/>
      <c r="C56" s="122">
        <f t="shared" ref="C56:N56" si="9">SUM(C54:C55)</f>
        <v>-916.66666666666663</v>
      </c>
      <c r="D56" s="122">
        <f t="shared" si="9"/>
        <v>-916.66666666666663</v>
      </c>
      <c r="E56" s="122">
        <f t="shared" si="9"/>
        <v>-916.66666666666663</v>
      </c>
      <c r="F56" s="122">
        <f t="shared" si="9"/>
        <v>-916.66666666666663</v>
      </c>
      <c r="G56" s="122">
        <f t="shared" si="9"/>
        <v>-916.66666666666663</v>
      </c>
      <c r="H56" s="122">
        <f t="shared" si="9"/>
        <v>-916.66666666666663</v>
      </c>
      <c r="I56" s="122">
        <f t="shared" si="9"/>
        <v>-916.66666666666663</v>
      </c>
      <c r="J56" s="122">
        <f t="shared" si="9"/>
        <v>-916.66666666666663</v>
      </c>
      <c r="K56" s="122">
        <f t="shared" si="9"/>
        <v>-916.66666666666663</v>
      </c>
      <c r="L56" s="122">
        <f t="shared" si="9"/>
        <v>-916.66666666666663</v>
      </c>
      <c r="M56" s="122">
        <f t="shared" si="9"/>
        <v>-916.66666666666663</v>
      </c>
      <c r="N56" s="122">
        <f t="shared" si="9"/>
        <v>-916.66666666666663</v>
      </c>
      <c r="O56" s="122">
        <f>SUM(C56:N56)</f>
        <v>-10999.999999999998</v>
      </c>
      <c r="P56" s="116">
        <f>CASHFLOW!D17</f>
        <v>-11000</v>
      </c>
      <c r="Q56" s="118"/>
    </row>
    <row r="57" spans="1:17">
      <c r="A57" s="32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7">
        <f>CASHFLOW!D18</f>
        <v>0</v>
      </c>
      <c r="Q57" s="32"/>
    </row>
    <row r="58" spans="1:17">
      <c r="A58" s="130" t="s">
        <v>34</v>
      </c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7">
        <f>CASHFLOW!D19</f>
        <v>0</v>
      </c>
      <c r="Q58" s="130"/>
    </row>
    <row r="59" spans="1:17">
      <c r="A59" s="32" t="s">
        <v>35</v>
      </c>
      <c r="B59" s="115"/>
      <c r="C59" s="116">
        <f>IF(FUNDING!D19&gt;=0,FUNDING!D19,0)</f>
        <v>0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>
        <f>IF(FUNDING!D19&lt;0,FUNDING!D19,0)</f>
        <v>0</v>
      </c>
      <c r="O59" s="122">
        <f t="shared" ref="O59:O65" si="10">SUM(C59:N59)</f>
        <v>0</v>
      </c>
      <c r="P59" s="116">
        <f>CASHFLOW!D20</f>
        <v>0</v>
      </c>
      <c r="Q59" s="32"/>
    </row>
    <row r="60" spans="1:17">
      <c r="A60" s="32" t="s">
        <v>36</v>
      </c>
      <c r="B60" s="115"/>
      <c r="C60" s="116">
        <f>IF(FUNDING!D27&gt;=0,FUNDING!D27,0)</f>
        <v>0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>
        <f>IF(FUNDING!D27&lt;0,FUNDING!D27,0)</f>
        <v>0</v>
      </c>
      <c r="O60" s="122">
        <f t="shared" si="10"/>
        <v>0</v>
      </c>
      <c r="P60" s="116">
        <f>CASHFLOW!D21</f>
        <v>0</v>
      </c>
      <c r="Q60" s="32"/>
    </row>
    <row r="61" spans="1:17">
      <c r="A61" s="32" t="s">
        <v>61</v>
      </c>
      <c r="B61" s="115"/>
      <c r="C61" s="116">
        <f>IF(FUNDING!D28&gt;=0,FUNDING!D28,0)</f>
        <v>0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>
        <f>IF(FUNDING!D28&lt;0,FUNDING!D28,0)</f>
        <v>0</v>
      </c>
      <c r="O61" s="122">
        <f t="shared" si="10"/>
        <v>0</v>
      </c>
      <c r="P61" s="116">
        <f>CASHFLOW!D22</f>
        <v>0</v>
      </c>
      <c r="Q61" s="32"/>
    </row>
    <row r="62" spans="1:17">
      <c r="A62" s="32" t="s">
        <v>37</v>
      </c>
      <c r="B62" s="115"/>
      <c r="C62" s="116">
        <f>IF(FUNDING!D9&gt;=0,FUNDING!D9,0)</f>
        <v>0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>
        <f>IF(FUNDING!D9&lt;0,FUNDING!CC9,0)</f>
        <v>0</v>
      </c>
      <c r="O62" s="122">
        <f t="shared" si="10"/>
        <v>0</v>
      </c>
      <c r="P62" s="116">
        <f>CASHFLOW!D23</f>
        <v>0</v>
      </c>
      <c r="Q62" s="32"/>
    </row>
    <row r="63" spans="1:17">
      <c r="A63" s="32" t="s">
        <v>38</v>
      </c>
      <c r="B63" s="115"/>
      <c r="C63" s="116">
        <f>IF(FUNDING!D14&gt;=0,FUNDING!D14,0)</f>
        <v>0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>
        <f>IF(FUNDING!D14&lt;0,FUNDING!D14,0)</f>
        <v>0</v>
      </c>
      <c r="O63" s="122">
        <f t="shared" si="10"/>
        <v>0</v>
      </c>
      <c r="P63" s="116">
        <f>CASHFLOW!D24</f>
        <v>0</v>
      </c>
      <c r="Q63" s="32"/>
    </row>
    <row r="64" spans="1:17">
      <c r="A64" s="32" t="s">
        <v>39</v>
      </c>
      <c r="B64" s="120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>
        <f>-FUNDING!D49</f>
        <v>0</v>
      </c>
      <c r="O64" s="125">
        <f t="shared" si="10"/>
        <v>0</v>
      </c>
      <c r="P64" s="124">
        <f>CASHFLOW!D25</f>
        <v>0</v>
      </c>
      <c r="Q64" s="32"/>
    </row>
    <row r="65" spans="1:22">
      <c r="A65" s="118" t="s">
        <v>40</v>
      </c>
      <c r="B65" s="120"/>
      <c r="C65" s="122">
        <f t="shared" ref="C65:N65" si="11">SUM(C59:C64)</f>
        <v>0</v>
      </c>
      <c r="D65" s="122">
        <f t="shared" si="11"/>
        <v>0</v>
      </c>
      <c r="E65" s="122">
        <f t="shared" si="11"/>
        <v>0</v>
      </c>
      <c r="F65" s="122">
        <f t="shared" si="11"/>
        <v>0</v>
      </c>
      <c r="G65" s="122">
        <f t="shared" si="11"/>
        <v>0</v>
      </c>
      <c r="H65" s="122">
        <f t="shared" si="11"/>
        <v>0</v>
      </c>
      <c r="I65" s="122">
        <f t="shared" si="11"/>
        <v>0</v>
      </c>
      <c r="J65" s="122">
        <f t="shared" si="11"/>
        <v>0</v>
      </c>
      <c r="K65" s="122">
        <f t="shared" si="11"/>
        <v>0</v>
      </c>
      <c r="L65" s="122">
        <f t="shared" si="11"/>
        <v>0</v>
      </c>
      <c r="M65" s="122">
        <f t="shared" si="11"/>
        <v>0</v>
      </c>
      <c r="N65" s="122">
        <f t="shared" si="11"/>
        <v>0</v>
      </c>
      <c r="O65" s="122">
        <f t="shared" si="10"/>
        <v>0</v>
      </c>
      <c r="P65" s="116">
        <f>CASHFLOW!D26</f>
        <v>0</v>
      </c>
      <c r="Q65" s="118"/>
    </row>
    <row r="66" spans="1:22">
      <c r="A66" s="32"/>
      <c r="B66" s="120"/>
      <c r="C66" s="209"/>
      <c r="D66" s="209"/>
      <c r="E66" s="209"/>
      <c r="F66" s="209"/>
      <c r="G66" s="209"/>
      <c r="H66" s="209"/>
      <c r="I66" s="209"/>
      <c r="J66" s="209"/>
      <c r="K66" s="209"/>
      <c r="L66" s="209"/>
      <c r="M66" s="209"/>
      <c r="N66" s="209"/>
      <c r="O66" s="209"/>
      <c r="P66" s="290">
        <f>CASHFLOW!D27</f>
        <v>0</v>
      </c>
      <c r="Q66" s="32"/>
    </row>
    <row r="67" spans="1:22">
      <c r="A67" s="130" t="s">
        <v>85</v>
      </c>
      <c r="B67" s="120"/>
      <c r="C67" s="125" t="e">
        <f>C51+C56+C65</f>
        <v>#REF!</v>
      </c>
      <c r="D67" s="125" t="e">
        <f t="shared" ref="D67:N67" si="12">D51+D56+D65</f>
        <v>#REF!</v>
      </c>
      <c r="E67" s="125" t="e">
        <f t="shared" si="12"/>
        <v>#REF!</v>
      </c>
      <c r="F67" s="125" t="e">
        <f t="shared" si="12"/>
        <v>#REF!</v>
      </c>
      <c r="G67" s="125" t="e">
        <f t="shared" si="12"/>
        <v>#REF!</v>
      </c>
      <c r="H67" s="125" t="e">
        <f t="shared" si="12"/>
        <v>#REF!</v>
      </c>
      <c r="I67" s="125" t="e">
        <f t="shared" si="12"/>
        <v>#REF!</v>
      </c>
      <c r="J67" s="125" t="e">
        <f t="shared" si="12"/>
        <v>#REF!</v>
      </c>
      <c r="K67" s="125" t="e">
        <f t="shared" si="12"/>
        <v>#REF!</v>
      </c>
      <c r="L67" s="125" t="e">
        <f t="shared" si="12"/>
        <v>#REF!</v>
      </c>
      <c r="M67" s="125" t="e">
        <f t="shared" si="12"/>
        <v>#REF!</v>
      </c>
      <c r="N67" s="125" t="e">
        <f t="shared" si="12"/>
        <v>#REF!</v>
      </c>
      <c r="O67" s="125" t="e">
        <f>SUM(C67:N67)</f>
        <v>#REF!</v>
      </c>
      <c r="P67" s="386">
        <f>CASHFLOW!D28</f>
        <v>287288.77211068291</v>
      </c>
      <c r="Q67" s="130"/>
    </row>
    <row r="68" spans="1:22">
      <c r="A68" s="32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32"/>
    </row>
    <row r="69" spans="1:22">
      <c r="A69" s="130" t="s">
        <v>308</v>
      </c>
      <c r="B69" s="115"/>
      <c r="C69" s="122">
        <f>N36</f>
        <v>826800.37477030966</v>
      </c>
      <c r="D69" s="122" t="e">
        <f t="shared" ref="D69:N69" si="13">C70</f>
        <v>#REF!</v>
      </c>
      <c r="E69" s="122" t="e">
        <f t="shared" si="13"/>
        <v>#REF!</v>
      </c>
      <c r="F69" s="122" t="e">
        <f t="shared" si="13"/>
        <v>#REF!</v>
      </c>
      <c r="G69" s="122" t="e">
        <f t="shared" si="13"/>
        <v>#REF!</v>
      </c>
      <c r="H69" s="122" t="e">
        <f t="shared" si="13"/>
        <v>#REF!</v>
      </c>
      <c r="I69" s="122" t="e">
        <f t="shared" si="13"/>
        <v>#REF!</v>
      </c>
      <c r="J69" s="122" t="e">
        <f t="shared" si="13"/>
        <v>#REF!</v>
      </c>
      <c r="K69" s="122" t="e">
        <f t="shared" si="13"/>
        <v>#REF!</v>
      </c>
      <c r="L69" s="122" t="e">
        <f t="shared" si="13"/>
        <v>#REF!</v>
      </c>
      <c r="M69" s="122" t="e">
        <f t="shared" si="13"/>
        <v>#REF!</v>
      </c>
      <c r="N69" s="122" t="e">
        <f t="shared" si="13"/>
        <v>#REF!</v>
      </c>
      <c r="O69" s="115"/>
      <c r="P69" s="116">
        <f>CASHFLOW!D30</f>
        <v>924778.23360428831</v>
      </c>
      <c r="Q69" s="130"/>
    </row>
    <row r="70" spans="1:22">
      <c r="A70" s="130" t="s">
        <v>307</v>
      </c>
      <c r="B70" s="41" t="e">
        <f>'BALANCE SHEET'!Cash_Begin</f>
        <v>#NAME?</v>
      </c>
      <c r="C70" s="122" t="e">
        <f t="shared" ref="C70:N70" si="14">C69+C67</f>
        <v>#REF!</v>
      </c>
      <c r="D70" s="122" t="e">
        <f t="shared" si="14"/>
        <v>#REF!</v>
      </c>
      <c r="E70" s="122" t="e">
        <f t="shared" si="14"/>
        <v>#REF!</v>
      </c>
      <c r="F70" s="122" t="e">
        <f t="shared" si="14"/>
        <v>#REF!</v>
      </c>
      <c r="G70" s="122" t="e">
        <f t="shared" si="14"/>
        <v>#REF!</v>
      </c>
      <c r="H70" s="122" t="e">
        <f t="shared" si="14"/>
        <v>#REF!</v>
      </c>
      <c r="I70" s="122" t="e">
        <f t="shared" si="14"/>
        <v>#REF!</v>
      </c>
      <c r="J70" s="122" t="e">
        <f t="shared" si="14"/>
        <v>#REF!</v>
      </c>
      <c r="K70" s="122" t="e">
        <f t="shared" si="14"/>
        <v>#REF!</v>
      </c>
      <c r="L70" s="122" t="e">
        <f t="shared" si="14"/>
        <v>#REF!</v>
      </c>
      <c r="M70" s="122" t="e">
        <f t="shared" si="14"/>
        <v>#REF!</v>
      </c>
      <c r="N70" s="122" t="e">
        <f t="shared" si="14"/>
        <v>#REF!</v>
      </c>
      <c r="O70" s="115"/>
      <c r="P70" s="116">
        <f>CASHFLOW!D31</f>
        <v>1212067.0057149711</v>
      </c>
      <c r="Q70" s="130"/>
    </row>
    <row r="73" spans="1:22" ht="18">
      <c r="A73" s="238" t="str">
        <f>A1</f>
        <v>AQUAPONICS FARMING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22" ht="15">
      <c r="A74" s="151" t="s">
        <v>192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R74" s="232" t="s">
        <v>56</v>
      </c>
      <c r="S74" s="232" t="s">
        <v>57</v>
      </c>
      <c r="T74" s="232" t="s">
        <v>58</v>
      </c>
    </row>
    <row r="75" spans="1:22" ht="15">
      <c r="A75" s="151" t="s">
        <v>188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32" t="s">
        <v>174</v>
      </c>
      <c r="S75" s="232" t="s">
        <v>174</v>
      </c>
      <c r="T75" s="232" t="s">
        <v>174</v>
      </c>
    </row>
    <row r="76" spans="1:22" ht="16">
      <c r="A76" s="151"/>
      <c r="B76" s="2"/>
      <c r="C76" s="601" t="s">
        <v>56</v>
      </c>
      <c r="D76" s="601"/>
      <c r="E76" s="601"/>
      <c r="F76" s="601"/>
      <c r="G76" s="601"/>
      <c r="H76" s="601" t="s">
        <v>57</v>
      </c>
      <c r="I76" s="601"/>
      <c r="J76" s="601"/>
      <c r="K76" s="601"/>
      <c r="L76" s="601"/>
      <c r="M76" s="601" t="s">
        <v>58</v>
      </c>
      <c r="N76" s="601"/>
      <c r="O76" s="601"/>
      <c r="P76" s="601"/>
      <c r="Q76" s="601"/>
      <c r="R76" s="204" t="s">
        <v>187</v>
      </c>
      <c r="S76" s="204" t="s">
        <v>187</v>
      </c>
      <c r="T76" s="204" t="s">
        <v>187</v>
      </c>
    </row>
    <row r="77" spans="1:22">
      <c r="A77" s="37"/>
      <c r="B77" s="37"/>
      <c r="C77" s="235" t="s">
        <v>178</v>
      </c>
      <c r="D77" s="235" t="s">
        <v>180</v>
      </c>
      <c r="E77" s="235" t="s">
        <v>181</v>
      </c>
      <c r="F77" s="235" t="s">
        <v>182</v>
      </c>
      <c r="G77" s="235" t="s">
        <v>111</v>
      </c>
      <c r="H77" s="235" t="s">
        <v>178</v>
      </c>
      <c r="I77" s="235" t="s">
        <v>183</v>
      </c>
      <c r="J77" s="235" t="s">
        <v>184</v>
      </c>
      <c r="K77" s="235" t="s">
        <v>185</v>
      </c>
      <c r="L77" s="235" t="s">
        <v>111</v>
      </c>
      <c r="M77" s="235" t="s">
        <v>178</v>
      </c>
      <c r="N77" s="235" t="s">
        <v>183</v>
      </c>
      <c r="O77" s="235" t="s">
        <v>184</v>
      </c>
      <c r="P77" s="235" t="s">
        <v>185</v>
      </c>
      <c r="Q77" s="235" t="s">
        <v>111</v>
      </c>
    </row>
    <row r="78" spans="1:22" ht="16">
      <c r="A78" s="130" t="s">
        <v>29</v>
      </c>
      <c r="Q78" s="265"/>
      <c r="V78" s="130"/>
    </row>
    <row r="79" spans="1:22">
      <c r="A79" s="32" t="s">
        <v>30</v>
      </c>
      <c r="C79" s="267">
        <f>'INCOME-MOS'!C99</f>
        <v>56333.857386935044</v>
      </c>
      <c r="D79" s="267">
        <f>'INCOME-MOS'!D99</f>
        <v>53922.724440257189</v>
      </c>
      <c r="E79" s="267">
        <f>'INCOME-MOS'!E99</f>
        <v>53922.724440257189</v>
      </c>
      <c r="F79" s="267">
        <f>'INCOME-MOS'!F99</f>
        <v>70800.655067002153</v>
      </c>
      <c r="G79" s="268">
        <f>SUM(C79:F79)</f>
        <v>234979.96133445157</v>
      </c>
      <c r="H79" s="267">
        <f>'INCOME-MOS'!H99</f>
        <v>64210.786975988834</v>
      </c>
      <c r="I79" s="267">
        <f>'INCOME-MOS'!I99</f>
        <v>44042.34639552897</v>
      </c>
      <c r="J79" s="267">
        <f>'INCOME-MOS'!J99</f>
        <v>65311.759291548318</v>
      </c>
      <c r="K79" s="267">
        <f>'INCOME-MOS'!K99</f>
        <v>64694.757381304844</v>
      </c>
      <c r="L79" s="268">
        <f>SUM(H79:K79)</f>
        <v>238259.65004437097</v>
      </c>
      <c r="M79" s="267">
        <f>'INCOME-MOS'!M99</f>
        <v>58596.168519974461</v>
      </c>
      <c r="N79" s="267">
        <f>'INCOME-MOS'!N99</f>
        <v>45345.248935375283</v>
      </c>
      <c r="O79" s="267">
        <f>'INCOME-MOS'!O99</f>
        <v>63254.455058783096</v>
      </c>
      <c r="P79" s="267">
        <f>'INCOME-MOS'!P99</f>
        <v>77210.38520798301</v>
      </c>
      <c r="Q79" s="268">
        <f>SUM(M79:P79)</f>
        <v>244406.25772211584</v>
      </c>
      <c r="R79" s="266">
        <f>CASHFLOW!E7</f>
        <v>390536.08083243005</v>
      </c>
      <c r="S79" s="266">
        <f>CASHFLOW!F7</f>
        <v>411715.35674043023</v>
      </c>
      <c r="T79" s="266">
        <f>CASHFLOW!G7</f>
        <v>435536.65503692999</v>
      </c>
      <c r="V79" s="32"/>
    </row>
    <row r="80" spans="1:22">
      <c r="A80" s="32" t="s">
        <v>31</v>
      </c>
      <c r="C80" s="264"/>
      <c r="D80" s="264"/>
      <c r="E80" s="264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264"/>
      <c r="Q80" s="264"/>
      <c r="R80" s="266"/>
      <c r="S80" s="266"/>
      <c r="T80" s="266"/>
      <c r="V80" s="32"/>
    </row>
    <row r="81" spans="1:22">
      <c r="A81" s="118" t="s">
        <v>86</v>
      </c>
      <c r="C81" s="116">
        <f>-(WORKCAP!$E56-WORKCAP!$D65)</f>
        <v>10140.784698903502</v>
      </c>
      <c r="D81" s="116">
        <f>-(WORKCAP!$E59-WORKCAP!$E56)</f>
        <v>3446.5440994105884</v>
      </c>
      <c r="E81" s="116">
        <f>-(WORKCAP!$E62-WORKCAP!$E59)</f>
        <v>0</v>
      </c>
      <c r="F81" s="116">
        <f>-(WORKCAP!$E65-WORKCAP!$E62)</f>
        <v>-24125.808695874075</v>
      </c>
      <c r="G81" s="268">
        <f t="shared" ref="G81:G85" si="15">SUM(C81:F81)</f>
        <v>-10538.479897559984</v>
      </c>
      <c r="H81" s="116">
        <f>-(WORKCAP!$F56-WORKCAP!$E65)</f>
        <v>11514.115687450307</v>
      </c>
      <c r="I81" s="116">
        <f>-(WORKCAP!$F59-WORKCAP!$F56)</f>
        <v>21203.586298815499</v>
      </c>
      <c r="J81" s="116">
        <f>-(WORKCAP!$F62-WORKCAP!$F59)</f>
        <v>-21203.586298815484</v>
      </c>
      <c r="K81" s="116">
        <f>-(WORKCAP!$F65-WORKCAP!$F62)</f>
        <v>-7067.8620996051468</v>
      </c>
      <c r="L81" s="268">
        <f t="shared" ref="L81:L85" si="16">SUM(H81:K81)</f>
        <v>4446.2535878451745</v>
      </c>
      <c r="M81" s="116">
        <f>-(WORKCAP!$G56-WORKCAP!$F65)</f>
        <v>11741.400453226321</v>
      </c>
      <c r="N81" s="116">
        <f>-(WORKCAP!$G59-WORKCAP!$G56)</f>
        <v>14534.778156874323</v>
      </c>
      <c r="O81" s="116">
        <f>-(WORKCAP!$G62-WORKCAP!$G59)</f>
        <v>-18168.472696092897</v>
      </c>
      <c r="P81" s="116">
        <f>-(WORKCAP!$G65-WORKCAP!$G62)</f>
        <v>-21802.167235311499</v>
      </c>
      <c r="Q81" s="268">
        <f t="shared" ref="Q81:Q85" si="17">SUM(M81:P81)</f>
        <v>-13694.461321303752</v>
      </c>
      <c r="R81" s="266">
        <f>CASHFLOW!E9</f>
        <v>-10538.479897559984</v>
      </c>
      <c r="S81" s="266">
        <f>CASHFLOW!F9</f>
        <v>4446.2535878451745</v>
      </c>
      <c r="T81" s="266">
        <f>CASHFLOW!G9</f>
        <v>-13694.461321303752</v>
      </c>
      <c r="V81" s="118"/>
    </row>
    <row r="82" spans="1:22">
      <c r="A82" s="118" t="s">
        <v>87</v>
      </c>
      <c r="C82" s="267">
        <f>-(WORKCAP!E73-WORKCAP!D82)</f>
        <v>1221.7812890245186</v>
      </c>
      <c r="D82" s="267">
        <f>-(WORKCAP!E76-WORKCAP!E73)</f>
        <v>415.24627703741862</v>
      </c>
      <c r="E82" s="267">
        <f>-(WORKCAP!E79-WORKCAP!E76)</f>
        <v>0</v>
      </c>
      <c r="F82" s="267">
        <f>-(WORKCAP!E82-WORKCAP!E79)</f>
        <v>-2906.7239392619358</v>
      </c>
      <c r="G82" s="268">
        <f t="shared" si="15"/>
        <v>-1269.6963731999986</v>
      </c>
      <c r="H82" s="267">
        <f>-(WORKCAP!F73-WORKCAP!E82)</f>
        <v>1387.2428539096763</v>
      </c>
      <c r="I82" s="267">
        <f>-(WORKCAP!F76-WORKCAP!F73)</f>
        <v>2554.6489516645161</v>
      </c>
      <c r="J82" s="267">
        <f>-(WORKCAP!F79-WORKCAP!F76)</f>
        <v>-2554.6489516645142</v>
      </c>
      <c r="K82" s="267">
        <f>-(WORKCAP!F82-WORKCAP!F79)</f>
        <v>-851.5496505548399</v>
      </c>
      <c r="L82" s="268">
        <f t="shared" si="16"/>
        <v>535.69320335483826</v>
      </c>
      <c r="M82" s="267">
        <f>-(WORKCAP!G73-WORKCAP!F82)</f>
        <v>1414.6265606296802</v>
      </c>
      <c r="N82" s="267">
        <f>-(WORKCAP!G76-WORKCAP!G73)</f>
        <v>1751.1780911896767</v>
      </c>
      <c r="O82" s="267">
        <f>-(WORKCAP!G79-WORKCAP!G76)</f>
        <v>-2188.9726139870963</v>
      </c>
      <c r="P82" s="267">
        <f>-(WORKCAP!G82-WORKCAP!G79)</f>
        <v>-2626.7671367845178</v>
      </c>
      <c r="Q82" s="268">
        <f t="shared" si="17"/>
        <v>-1649.9350989522572</v>
      </c>
      <c r="R82" s="266" t="e">
        <f>CASHFLOW!#REF!</f>
        <v>#REF!</v>
      </c>
      <c r="S82" s="266" t="e">
        <f>CASHFLOW!#REF!</f>
        <v>#REF!</v>
      </c>
      <c r="T82" s="266" t="e">
        <f>CASHFLOW!#REF!</f>
        <v>#REF!</v>
      </c>
      <c r="V82" s="118"/>
    </row>
    <row r="83" spans="1:22">
      <c r="A83" s="118" t="s">
        <v>95</v>
      </c>
      <c r="C83" s="267">
        <f>(WORKCAP!E90-WORKCAP!D99)</f>
        <v>-5131.4814139029695</v>
      </c>
      <c r="D83" s="267">
        <f>(WORKCAP!E93-WORKCAP!E90)</f>
        <v>-1744.0343635571626</v>
      </c>
      <c r="E83" s="267">
        <f>(WORKCAP!E96-WORKCAP!E93)</f>
        <v>0</v>
      </c>
      <c r="F83" s="267">
        <f>(WORKCAP!E99-WORKCAP!E96)</f>
        <v>12208.240544900131</v>
      </c>
      <c r="G83" s="268">
        <f t="shared" si="15"/>
        <v>5332.7247674399987</v>
      </c>
      <c r="H83" s="267">
        <f>(WORKCAP!F90-WORKCAP!E99)</f>
        <v>-5826.4199864206312</v>
      </c>
      <c r="I83" s="267">
        <f>(WORKCAP!F93-WORKCAP!F90)</f>
        <v>-10729.52559699097</v>
      </c>
      <c r="J83" s="267">
        <f>(WORKCAP!F96-WORKCAP!F93)</f>
        <v>10729.525596990956</v>
      </c>
      <c r="K83" s="267">
        <f>(WORKCAP!F99-WORKCAP!F96)</f>
        <v>3576.508532330321</v>
      </c>
      <c r="L83" s="268">
        <f t="shared" si="16"/>
        <v>-2249.9114540903247</v>
      </c>
      <c r="M83" s="267">
        <f>(WORKCAP!G90-WORKCAP!F99)</f>
        <v>-5941.4315546446451</v>
      </c>
      <c r="N83" s="267">
        <f>(WORKCAP!G93-WORKCAP!G90)</f>
        <v>-7354.947982996644</v>
      </c>
      <c r="O83" s="267">
        <f>(WORKCAP!G96-WORKCAP!G93)</f>
        <v>9193.684978745805</v>
      </c>
      <c r="P83" s="267">
        <f>(WORKCAP!G99-WORKCAP!G96)</f>
        <v>11032.421974494973</v>
      </c>
      <c r="Q83" s="268">
        <f t="shared" si="17"/>
        <v>6929.7274155994892</v>
      </c>
      <c r="R83" s="266">
        <f>CASHFLOW!E11</f>
        <v>5332.7247674399987</v>
      </c>
      <c r="S83" s="266">
        <f>CASHFLOW!F11</f>
        <v>-2249.9114540903247</v>
      </c>
      <c r="T83" s="266">
        <f>CASHFLOW!G11</f>
        <v>6929.7274155994892</v>
      </c>
      <c r="V83" s="118"/>
    </row>
    <row r="84" spans="1:22">
      <c r="A84" s="118" t="s">
        <v>112</v>
      </c>
      <c r="C84" s="291" t="e">
        <f>(WORKCAP!#REF!-WORKCAP!#REF!)</f>
        <v>#REF!</v>
      </c>
      <c r="D84" s="291" t="e">
        <f>(WORKCAP!#REF!-WORKCAP!#REF!)</f>
        <v>#REF!</v>
      </c>
      <c r="E84" s="291" t="e">
        <f>(WORKCAP!#REF!-WORKCAP!#REF!)</f>
        <v>#REF!</v>
      </c>
      <c r="F84" s="291" t="e">
        <f>(WORKCAP!#REF!-WORKCAP!#REF!)</f>
        <v>#REF!</v>
      </c>
      <c r="G84" s="292" t="e">
        <f t="shared" si="15"/>
        <v>#REF!</v>
      </c>
      <c r="H84" s="291" t="e">
        <f>(WORKCAP!#REF!-WORKCAP!#REF!)</f>
        <v>#REF!</v>
      </c>
      <c r="I84" s="291" t="e">
        <f>(WORKCAP!#REF!-WORKCAP!#REF!)</f>
        <v>#REF!</v>
      </c>
      <c r="J84" s="291" t="e">
        <f>(WORKCAP!#REF!-WORKCAP!#REF!)</f>
        <v>#REF!</v>
      </c>
      <c r="K84" s="291" t="e">
        <f>(WORKCAP!#REF!-WORKCAP!#REF!)</f>
        <v>#REF!</v>
      </c>
      <c r="L84" s="292" t="e">
        <f t="shared" si="16"/>
        <v>#REF!</v>
      </c>
      <c r="M84" s="291" t="e">
        <f>(WORKCAP!#REF!-WORKCAP!#REF!)</f>
        <v>#REF!</v>
      </c>
      <c r="N84" s="291" t="e">
        <f>(WORKCAP!#REF!-WORKCAP!#REF!)</f>
        <v>#REF!</v>
      </c>
      <c r="O84" s="291" t="e">
        <f>(WORKCAP!#REF!-WORKCAP!#REF!)</f>
        <v>#REF!</v>
      </c>
      <c r="P84" s="291" t="e">
        <f>(WORKCAP!#REF!-WORKCAP!#REF!)</f>
        <v>#REF!</v>
      </c>
      <c r="Q84" s="292" t="e">
        <f t="shared" si="17"/>
        <v>#REF!</v>
      </c>
      <c r="R84" s="293" t="e">
        <f>CASHFLOW!#REF!</f>
        <v>#REF!</v>
      </c>
      <c r="S84" s="293" t="e">
        <f>CASHFLOW!#REF!</f>
        <v>#REF!</v>
      </c>
      <c r="T84" s="293" t="e">
        <f>CASHFLOW!#REF!</f>
        <v>#REF!</v>
      </c>
      <c r="V84" s="118"/>
    </row>
    <row r="85" spans="1:22">
      <c r="A85" s="118" t="s">
        <v>164</v>
      </c>
      <c r="C85" s="268" t="e">
        <f>SUM(C79:C84)</f>
        <v>#REF!</v>
      </c>
      <c r="D85" s="268" t="e">
        <f>SUM(D79:D84)</f>
        <v>#REF!</v>
      </c>
      <c r="E85" s="268" t="e">
        <f>SUM(E79:E84)</f>
        <v>#REF!</v>
      </c>
      <c r="F85" s="268" t="e">
        <f>SUM(F79:F84)</f>
        <v>#REF!</v>
      </c>
      <c r="G85" s="268" t="e">
        <f t="shared" si="15"/>
        <v>#REF!</v>
      </c>
      <c r="H85" s="268" t="e">
        <f>SUM(H79:H84)</f>
        <v>#REF!</v>
      </c>
      <c r="I85" s="268" t="e">
        <f>SUM(I79:I84)</f>
        <v>#REF!</v>
      </c>
      <c r="J85" s="268" t="e">
        <f>SUM(J79:J84)</f>
        <v>#REF!</v>
      </c>
      <c r="K85" s="268" t="e">
        <f>SUM(K79:K84)</f>
        <v>#REF!</v>
      </c>
      <c r="L85" s="268" t="e">
        <f t="shared" si="16"/>
        <v>#REF!</v>
      </c>
      <c r="M85" s="268" t="e">
        <f>SUM(M79:M84)</f>
        <v>#REF!</v>
      </c>
      <c r="N85" s="268" t="e">
        <f>SUM(N79:N84)</f>
        <v>#REF!</v>
      </c>
      <c r="O85" s="268" t="e">
        <f>SUM(O79:O84)</f>
        <v>#REF!</v>
      </c>
      <c r="P85" s="268" t="e">
        <f>SUM(P79:P84)</f>
        <v>#REF!</v>
      </c>
      <c r="Q85" s="268" t="e">
        <f t="shared" si="17"/>
        <v>#REF!</v>
      </c>
      <c r="R85" s="266">
        <f>CASHFLOW!E12</f>
        <v>372872.93739118747</v>
      </c>
      <c r="S85" s="266">
        <f>CASHFLOW!F12</f>
        <v>401990.00376641733</v>
      </c>
      <c r="T85" s="266">
        <f>CASHFLOW!G12</f>
        <v>415200.2909245058</v>
      </c>
      <c r="V85" s="118"/>
    </row>
    <row r="86" spans="1:22">
      <c r="A86" s="32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  <c r="Q86" s="264"/>
      <c r="R86" s="266"/>
      <c r="S86" s="266"/>
      <c r="T86" s="266"/>
      <c r="V86" s="32"/>
    </row>
    <row r="87" spans="1:22">
      <c r="A87" s="130" t="s">
        <v>32</v>
      </c>
      <c r="C87" s="264"/>
      <c r="D87" s="264"/>
      <c r="E87" s="264"/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6"/>
      <c r="S87" s="266"/>
      <c r="T87" s="266"/>
      <c r="V87" s="130"/>
    </row>
    <row r="88" spans="1:22">
      <c r="A88" s="32" t="s">
        <v>160</v>
      </c>
      <c r="C88" s="267">
        <f>-'PROP &amp; EQUIP'!E31</f>
        <v>-3500</v>
      </c>
      <c r="D88" s="267">
        <f>-'PROP &amp; EQUIP'!E35</f>
        <v>-3500</v>
      </c>
      <c r="E88" s="267">
        <f>-'PROP &amp; EQUIP'!E39</f>
        <v>-3500</v>
      </c>
      <c r="F88" s="267">
        <f>-'PROP &amp; EQUIP'!E43</f>
        <v>-3500</v>
      </c>
      <c r="G88" s="268">
        <f>SUM(C88:F88)</f>
        <v>-14000</v>
      </c>
      <c r="H88" s="269">
        <f>-'PROP &amp; EQUIP'!F31</f>
        <v>-2750</v>
      </c>
      <c r="I88" s="267">
        <f>-'PROP &amp; EQUIP'!F35</f>
        <v>-2750</v>
      </c>
      <c r="J88" s="267">
        <f>-'PROP &amp; EQUIP'!F39</f>
        <v>-2750</v>
      </c>
      <c r="K88" s="267">
        <f>-'PROP &amp; EQUIP'!F43</f>
        <v>-2750</v>
      </c>
      <c r="L88" s="268">
        <f>SUM(H88:K88)</f>
        <v>-11000</v>
      </c>
      <c r="M88" s="267">
        <f>-'PROP &amp; EQUIP'!G31</f>
        <v>-4000</v>
      </c>
      <c r="N88" s="267">
        <f>-'PROP &amp; EQUIP'!G35</f>
        <v>-4000</v>
      </c>
      <c r="O88" s="267">
        <f>-'PROP &amp; EQUIP'!G39</f>
        <v>-4000</v>
      </c>
      <c r="P88" s="267">
        <f>-'PROP &amp; EQUIP'!G43</f>
        <v>-4000</v>
      </c>
      <c r="Q88" s="268">
        <f>SUM(M88:P88)</f>
        <v>-16000</v>
      </c>
      <c r="R88" s="266">
        <f>CASHFLOW!E15</f>
        <v>-14000</v>
      </c>
      <c r="S88" s="266">
        <f>CASHFLOW!F15</f>
        <v>-11000</v>
      </c>
      <c r="T88" s="266">
        <f>CASHFLOW!G15</f>
        <v>-16000</v>
      </c>
      <c r="V88" s="32"/>
    </row>
    <row r="89" spans="1:22">
      <c r="A89" s="123" t="s">
        <v>88</v>
      </c>
      <c r="C89" s="291"/>
      <c r="D89" s="291"/>
      <c r="E89" s="291"/>
      <c r="F89" s="291"/>
      <c r="G89" s="292">
        <f>SUM(C89:F89)</f>
        <v>0</v>
      </c>
      <c r="H89" s="291"/>
      <c r="I89" s="291"/>
      <c r="J89" s="291"/>
      <c r="K89" s="291"/>
      <c r="L89" s="292">
        <f>SUM(H89:K89)</f>
        <v>0</v>
      </c>
      <c r="M89" s="291"/>
      <c r="N89" s="291"/>
      <c r="O89" s="291"/>
      <c r="P89" s="291"/>
      <c r="Q89" s="292"/>
      <c r="R89" s="293">
        <f>CASHFLOW!E16</f>
        <v>0</v>
      </c>
      <c r="S89" s="293">
        <f>CASHFLOW!F16</f>
        <v>0</v>
      </c>
      <c r="T89" s="293">
        <f>CASHFLOW!G16</f>
        <v>0</v>
      </c>
      <c r="V89" s="123"/>
    </row>
    <row r="90" spans="1:22">
      <c r="A90" s="118" t="s">
        <v>33</v>
      </c>
      <c r="C90" s="268">
        <f>SUM(C88:C89)</f>
        <v>-3500</v>
      </c>
      <c r="D90" s="268">
        <f>SUM(D88:D89)</f>
        <v>-3500</v>
      </c>
      <c r="E90" s="268">
        <f>SUM(E88:E89)</f>
        <v>-3500</v>
      </c>
      <c r="F90" s="268">
        <f>SUM(F88:F89)</f>
        <v>-3500</v>
      </c>
      <c r="G90" s="268">
        <f>SUM(C90:F90)</f>
        <v>-14000</v>
      </c>
      <c r="H90" s="268">
        <f>SUM(H88:H89)</f>
        <v>-2750</v>
      </c>
      <c r="I90" s="268">
        <f>SUM(I88:I89)</f>
        <v>-2750</v>
      </c>
      <c r="J90" s="268">
        <f>SUM(J88:J89)</f>
        <v>-2750</v>
      </c>
      <c r="K90" s="268">
        <f>SUM(K88:K89)</f>
        <v>-2750</v>
      </c>
      <c r="L90" s="268">
        <f>SUM(H90:K90)</f>
        <v>-11000</v>
      </c>
      <c r="M90" s="268">
        <f>SUM(M88:M89)</f>
        <v>-4000</v>
      </c>
      <c r="N90" s="268">
        <f>SUM(N88:N89)</f>
        <v>-4000</v>
      </c>
      <c r="O90" s="268">
        <f>SUM(O88:O89)</f>
        <v>-4000</v>
      </c>
      <c r="P90" s="268">
        <f>SUM(P88:P89)</f>
        <v>-4000</v>
      </c>
      <c r="Q90" s="268">
        <f>SUM(M90:P90)</f>
        <v>-16000</v>
      </c>
      <c r="R90" s="266">
        <f>CASHFLOW!E17</f>
        <v>-14000</v>
      </c>
      <c r="S90" s="266">
        <f>CASHFLOW!F17</f>
        <v>-11000</v>
      </c>
      <c r="T90" s="266">
        <f>CASHFLOW!G17</f>
        <v>-16000</v>
      </c>
      <c r="V90" s="118"/>
    </row>
    <row r="91" spans="1:22">
      <c r="A91" s="32"/>
      <c r="C91" s="264"/>
      <c r="D91" s="264"/>
      <c r="E91" s="264"/>
      <c r="F91" s="264"/>
      <c r="G91" s="264"/>
      <c r="H91" s="264"/>
      <c r="I91" s="264"/>
      <c r="J91" s="264"/>
      <c r="K91" s="264"/>
      <c r="L91" s="264"/>
      <c r="M91" s="264"/>
      <c r="N91" s="264"/>
      <c r="O91" s="264"/>
      <c r="P91" s="264"/>
      <c r="Q91" s="264"/>
      <c r="R91" s="266"/>
      <c r="S91" s="266"/>
      <c r="T91" s="266"/>
      <c r="V91" s="32"/>
    </row>
    <row r="92" spans="1:22">
      <c r="A92" s="130" t="s">
        <v>34</v>
      </c>
      <c r="C92" s="264"/>
      <c r="D92" s="264"/>
      <c r="E92" s="264"/>
      <c r="F92" s="264"/>
      <c r="G92" s="264"/>
      <c r="H92" s="264"/>
      <c r="I92" s="264"/>
      <c r="J92" s="264"/>
      <c r="K92" s="264"/>
      <c r="L92" s="264"/>
      <c r="M92" s="264"/>
      <c r="N92" s="264"/>
      <c r="O92" s="264"/>
      <c r="P92" s="264"/>
      <c r="Q92" s="264"/>
      <c r="R92" s="266"/>
      <c r="S92" s="266"/>
      <c r="T92" s="266"/>
      <c r="V92" s="130"/>
    </row>
    <row r="93" spans="1:22">
      <c r="A93" s="32" t="s">
        <v>35</v>
      </c>
      <c r="C93" s="116">
        <f>IF(FUNDING!E19&gt;=0,FUNDING!E19,0)</f>
        <v>0</v>
      </c>
      <c r="D93" s="267"/>
      <c r="E93" s="267"/>
      <c r="F93" s="116">
        <f>IF(FUNDING!E19&lt;0,FUNDING!E19,0)</f>
        <v>0</v>
      </c>
      <c r="G93" s="268">
        <f t="shared" ref="G93:G98" si="18">SUM(C93:F93)</f>
        <v>0</v>
      </c>
      <c r="H93" s="116">
        <f>IF(FUNDING!F19&gt;=0,FUNDING!F19,0)</f>
        <v>0</v>
      </c>
      <c r="I93" s="267"/>
      <c r="J93" s="267"/>
      <c r="K93" s="116">
        <f>IF(FUNDING!F19&lt;0,FUNDING!F19,0)</f>
        <v>0</v>
      </c>
      <c r="L93" s="268">
        <f t="shared" ref="L93:L98" si="19">SUM(H93:K93)</f>
        <v>0</v>
      </c>
      <c r="M93" s="116">
        <f>IF(FUNDING!G19&gt;=0,FUNDING!G19,0)</f>
        <v>0</v>
      </c>
      <c r="N93" s="267"/>
      <c r="O93" s="267"/>
      <c r="P93" s="116">
        <f>IF(FUNDING!G19&lt;0,FUNDING!G19,0)</f>
        <v>0</v>
      </c>
      <c r="Q93" s="268">
        <f t="shared" ref="Q93:Q98" si="20">SUM(M93:P93)</f>
        <v>0</v>
      </c>
      <c r="R93" s="266">
        <f>CASHFLOW!E20</f>
        <v>0</v>
      </c>
      <c r="S93" s="266">
        <f>CASHFLOW!F20</f>
        <v>0</v>
      </c>
      <c r="T93" s="266">
        <f>CASHFLOW!G20</f>
        <v>0</v>
      </c>
      <c r="V93" s="32"/>
    </row>
    <row r="94" spans="1:22">
      <c r="A94" s="32" t="s">
        <v>36</v>
      </c>
      <c r="C94" s="116">
        <f>IF(FUNDING!E27&gt;=0,FUNDING!E27,0)</f>
        <v>0</v>
      </c>
      <c r="D94" s="267"/>
      <c r="E94" s="267"/>
      <c r="F94" s="116">
        <f>IF(FUNDING!E27&lt;0,FUNDING!E27,0)</f>
        <v>0</v>
      </c>
      <c r="G94" s="268">
        <f t="shared" si="18"/>
        <v>0</v>
      </c>
      <c r="H94" s="116">
        <f>IF(FUNDING!F27&gt;=0,FUNDING!F27,0)</f>
        <v>0</v>
      </c>
      <c r="I94" s="267"/>
      <c r="J94" s="267"/>
      <c r="K94" s="116">
        <f>IF(FUNDING!F27&lt;0,FUNDING!F27,0)</f>
        <v>0</v>
      </c>
      <c r="L94" s="268">
        <f t="shared" si="19"/>
        <v>0</v>
      </c>
      <c r="M94" s="116">
        <f>IF(FUNDING!G27&gt;=0,FUNDING!G27,0)</f>
        <v>0</v>
      </c>
      <c r="N94" s="267"/>
      <c r="O94" s="267"/>
      <c r="P94" s="116">
        <f>IF(FUNDING!G27&lt;0,FUNDING!G27,0)</f>
        <v>0</v>
      </c>
      <c r="Q94" s="268">
        <f t="shared" si="20"/>
        <v>0</v>
      </c>
      <c r="R94" s="266">
        <f>CASHFLOW!E21</f>
        <v>0</v>
      </c>
      <c r="S94" s="266">
        <f>CASHFLOW!F21</f>
        <v>0</v>
      </c>
      <c r="T94" s="266">
        <f>CASHFLOW!G21</f>
        <v>0</v>
      </c>
      <c r="V94" s="32"/>
    </row>
    <row r="95" spans="1:22">
      <c r="A95" s="32" t="s">
        <v>61</v>
      </c>
      <c r="C95" s="116">
        <f>IF(FUNDING!E28&gt;=0,FUNDING!E28,0)</f>
        <v>0</v>
      </c>
      <c r="D95" s="267"/>
      <c r="E95" s="267"/>
      <c r="F95" s="116">
        <f>IF(FUNDING!E28&lt;0,FUNDING!E28,0)</f>
        <v>0</v>
      </c>
      <c r="G95" s="268">
        <f t="shared" si="18"/>
        <v>0</v>
      </c>
      <c r="H95" s="116">
        <f>IF(FUNDING!F28&gt;=0,FUNDING!F28,0)</f>
        <v>0</v>
      </c>
      <c r="I95" s="267"/>
      <c r="J95" s="267"/>
      <c r="K95" s="116">
        <f>IF(FUNDING!F28&lt;0,FUNDING!F28,0)</f>
        <v>0</v>
      </c>
      <c r="L95" s="268">
        <f t="shared" si="19"/>
        <v>0</v>
      </c>
      <c r="M95" s="116">
        <f>IF(FUNDING!G28&gt;=0,FUNDING!G28,0)</f>
        <v>0</v>
      </c>
      <c r="N95" s="267"/>
      <c r="O95" s="267"/>
      <c r="P95" s="116">
        <f>IF(FUNDING!G28&lt;0,FUNDING!G28,0)</f>
        <v>0</v>
      </c>
      <c r="Q95" s="268">
        <f t="shared" si="20"/>
        <v>0</v>
      </c>
      <c r="R95" s="266">
        <f>CASHFLOW!E22</f>
        <v>0</v>
      </c>
      <c r="S95" s="266">
        <f>CASHFLOW!F22</f>
        <v>0</v>
      </c>
      <c r="T95" s="266">
        <f>CASHFLOW!G22</f>
        <v>0</v>
      </c>
      <c r="V95" s="32"/>
    </row>
    <row r="96" spans="1:22">
      <c r="A96" s="32" t="s">
        <v>37</v>
      </c>
      <c r="C96" s="116">
        <f>IF(FUNDING!E9&gt;=0,FUNDING!E9,0)</f>
        <v>0</v>
      </c>
      <c r="D96" s="267"/>
      <c r="E96" s="267"/>
      <c r="F96" s="116">
        <f>IF(FUNDING!E9&lt;0,FUNDING!E9,0)</f>
        <v>0</v>
      </c>
      <c r="G96" s="268">
        <f t="shared" si="18"/>
        <v>0</v>
      </c>
      <c r="H96" s="116">
        <f>IF(FUNDING!F9&gt;=0,FUNDING!F9,0)</f>
        <v>0</v>
      </c>
      <c r="I96" s="267"/>
      <c r="J96" s="267"/>
      <c r="K96" s="116">
        <f>IF(FUNDING!F9&lt;0,FUNDING!F9,0)</f>
        <v>0</v>
      </c>
      <c r="L96" s="268">
        <f t="shared" si="19"/>
        <v>0</v>
      </c>
      <c r="M96" s="116">
        <f>IF(FUNDING!G9&gt;=0,FUNDING!G9,0)</f>
        <v>0</v>
      </c>
      <c r="N96" s="267"/>
      <c r="O96" s="267"/>
      <c r="P96" s="116">
        <f>IF(FUNDING!G9&lt;0,FUNDING!G9,0)</f>
        <v>0</v>
      </c>
      <c r="Q96" s="268">
        <f t="shared" si="20"/>
        <v>0</v>
      </c>
      <c r="R96" s="266">
        <f>CASHFLOW!E23</f>
        <v>0</v>
      </c>
      <c r="S96" s="266">
        <f>CASHFLOW!F23</f>
        <v>0</v>
      </c>
      <c r="T96" s="266">
        <f>CASHFLOW!G23</f>
        <v>0</v>
      </c>
      <c r="V96" s="32"/>
    </row>
    <row r="97" spans="1:22">
      <c r="A97" s="32" t="s">
        <v>38</v>
      </c>
      <c r="C97" s="116">
        <f>IF(FUNDING!E14&gt;=0,FUNDING!E14,0)</f>
        <v>0</v>
      </c>
      <c r="D97" s="267"/>
      <c r="E97" s="267"/>
      <c r="F97" s="116">
        <f>IF(FUNDING!E14&lt;0,FUNDING!E14,0)</f>
        <v>0</v>
      </c>
      <c r="G97" s="268">
        <f t="shared" si="18"/>
        <v>0</v>
      </c>
      <c r="H97" s="116">
        <f>IF(FUNDING!F14&gt;=0,FUNDING!F14,0)</f>
        <v>0</v>
      </c>
      <c r="I97" s="267"/>
      <c r="J97" s="267"/>
      <c r="K97" s="116">
        <f>IF(FUNDING!F14&lt;0,FUNDINGf14,0)</f>
        <v>0</v>
      </c>
      <c r="L97" s="268">
        <f t="shared" si="19"/>
        <v>0</v>
      </c>
      <c r="M97" s="116">
        <f>IF(FUNDING!G14&gt;=0,FUNDING!G14,0)</f>
        <v>0</v>
      </c>
      <c r="N97" s="267"/>
      <c r="O97" s="267"/>
      <c r="P97" s="116">
        <f>IF(FUNDING!G14&lt;0,FUNDING!G14,0)</f>
        <v>0</v>
      </c>
      <c r="Q97" s="268">
        <f t="shared" si="20"/>
        <v>0</v>
      </c>
      <c r="R97" s="266">
        <f>CASHFLOW!E24</f>
        <v>0</v>
      </c>
      <c r="S97" s="266">
        <f>CASHFLOW!F24</f>
        <v>0</v>
      </c>
      <c r="T97" s="266">
        <f>CASHFLOW!G24</f>
        <v>0</v>
      </c>
      <c r="V97" s="32"/>
    </row>
    <row r="98" spans="1:22">
      <c r="A98" s="32" t="s">
        <v>39</v>
      </c>
      <c r="C98" s="124"/>
      <c r="D98" s="291"/>
      <c r="E98" s="291"/>
      <c r="F98" s="124">
        <f>-FUNDING!E49</f>
        <v>0</v>
      </c>
      <c r="G98" s="292">
        <f t="shared" si="18"/>
        <v>0</v>
      </c>
      <c r="H98" s="124"/>
      <c r="I98" s="291"/>
      <c r="J98" s="291"/>
      <c r="K98" s="124">
        <f>-FUNDING!F49</f>
        <v>0</v>
      </c>
      <c r="L98" s="292">
        <f t="shared" si="19"/>
        <v>0</v>
      </c>
      <c r="M98" s="124"/>
      <c r="N98" s="291"/>
      <c r="O98" s="291"/>
      <c r="P98" s="124">
        <f>-FUNDING!G49</f>
        <v>0</v>
      </c>
      <c r="Q98" s="292">
        <f t="shared" si="20"/>
        <v>0</v>
      </c>
      <c r="R98" s="293">
        <f>CASHFLOW!E25</f>
        <v>0</v>
      </c>
      <c r="S98" s="293">
        <f>CASHFLOW!F25</f>
        <v>0</v>
      </c>
      <c r="T98" s="293">
        <f>CASHFLOW!G25</f>
        <v>0</v>
      </c>
      <c r="V98" s="32"/>
    </row>
    <row r="99" spans="1:22">
      <c r="A99" s="118" t="s">
        <v>40</v>
      </c>
      <c r="C99" s="268">
        <f>SUM(C93:C98)</f>
        <v>0</v>
      </c>
      <c r="D99" s="268">
        <f>SUM(D93:D98)</f>
        <v>0</v>
      </c>
      <c r="E99" s="268">
        <f>SUM(E93:E98)</f>
        <v>0</v>
      </c>
      <c r="F99" s="268">
        <f>SUM(F93:F98)</f>
        <v>0</v>
      </c>
      <c r="G99" s="268">
        <f>SUM(C99:F99)</f>
        <v>0</v>
      </c>
      <c r="H99" s="268">
        <f>SUM(H93:H98)</f>
        <v>0</v>
      </c>
      <c r="I99" s="268">
        <f>SUM(I93:I98)</f>
        <v>0</v>
      </c>
      <c r="J99" s="268">
        <f>SUM(J93:J98)</f>
        <v>0</v>
      </c>
      <c r="K99" s="268">
        <f>SUM(K93:K98)</f>
        <v>0</v>
      </c>
      <c r="L99" s="268">
        <f>SUM(H99:K99)</f>
        <v>0</v>
      </c>
      <c r="M99" s="268">
        <f>SUM(M93:M98)</f>
        <v>0</v>
      </c>
      <c r="N99" s="268">
        <f>SUM(N93:N98)</f>
        <v>0</v>
      </c>
      <c r="O99" s="268">
        <f>SUM(O93:O98)</f>
        <v>0</v>
      </c>
      <c r="P99" s="268">
        <f>SUM(P93:P98)</f>
        <v>0</v>
      </c>
      <c r="Q99" s="268">
        <f>SUM(P99)</f>
        <v>0</v>
      </c>
      <c r="R99" s="266">
        <f>CASHFLOW!E26</f>
        <v>0</v>
      </c>
      <c r="S99" s="266">
        <f>CASHFLOW!F26</f>
        <v>0</v>
      </c>
      <c r="T99" s="266">
        <f>CASHFLOW!G26</f>
        <v>0</v>
      </c>
      <c r="V99" s="118"/>
    </row>
    <row r="100" spans="1:22">
      <c r="A100" s="32"/>
      <c r="C100" s="264"/>
      <c r="D100" s="264"/>
      <c r="E100" s="264"/>
      <c r="F100" s="264"/>
      <c r="G100" s="294"/>
      <c r="H100" s="264"/>
      <c r="I100" s="264"/>
      <c r="J100" s="264"/>
      <c r="K100" s="264"/>
      <c r="L100" s="294"/>
      <c r="M100" s="264"/>
      <c r="N100" s="264"/>
      <c r="O100" s="264"/>
      <c r="P100" s="264"/>
      <c r="Q100" s="264"/>
      <c r="R100" s="266"/>
      <c r="S100" s="266"/>
      <c r="T100" s="266"/>
      <c r="V100" s="32"/>
    </row>
    <row r="101" spans="1:22">
      <c r="A101" s="130" t="s">
        <v>85</v>
      </c>
      <c r="C101" s="387" t="e">
        <f>C85+C90+C99</f>
        <v>#REF!</v>
      </c>
      <c r="D101" s="387" t="e">
        <f t="shared" ref="D101:P101" si="21">D85+D90+D99</f>
        <v>#REF!</v>
      </c>
      <c r="E101" s="387" t="e">
        <f t="shared" si="21"/>
        <v>#REF!</v>
      </c>
      <c r="F101" s="387" t="e">
        <f t="shared" si="21"/>
        <v>#REF!</v>
      </c>
      <c r="G101" s="387" t="e">
        <f>SUM(C101:F101)</f>
        <v>#REF!</v>
      </c>
      <c r="H101" s="387" t="e">
        <f t="shared" si="21"/>
        <v>#REF!</v>
      </c>
      <c r="I101" s="387" t="e">
        <f t="shared" si="21"/>
        <v>#REF!</v>
      </c>
      <c r="J101" s="387" t="e">
        <f t="shared" si="21"/>
        <v>#REF!</v>
      </c>
      <c r="K101" s="387" t="e">
        <f t="shared" si="21"/>
        <v>#REF!</v>
      </c>
      <c r="L101" s="387" t="e">
        <f>SUM(H101:K101)</f>
        <v>#REF!</v>
      </c>
      <c r="M101" s="387" t="e">
        <f t="shared" si="21"/>
        <v>#REF!</v>
      </c>
      <c r="N101" s="387" t="e">
        <f t="shared" si="21"/>
        <v>#REF!</v>
      </c>
      <c r="O101" s="387" t="e">
        <f t="shared" si="21"/>
        <v>#REF!</v>
      </c>
      <c r="P101" s="387" t="e">
        <f t="shared" si="21"/>
        <v>#REF!</v>
      </c>
      <c r="Q101" s="387" t="e">
        <f>SUM(M101:P101)</f>
        <v>#REF!</v>
      </c>
      <c r="R101" s="388">
        <f>CASHFLOW!E28</f>
        <v>358872.93739118747</v>
      </c>
      <c r="S101" s="388">
        <f>CASHFLOW!F28</f>
        <v>390990.00376641733</v>
      </c>
      <c r="T101" s="388">
        <f>CASHFLOW!G28</f>
        <v>399200.2909245058</v>
      </c>
      <c r="V101" s="130"/>
    </row>
    <row r="102" spans="1:22">
      <c r="A102" s="32"/>
      <c r="C102" s="264"/>
      <c r="D102" s="264"/>
      <c r="E102" s="264"/>
      <c r="F102" s="264"/>
      <c r="G102" s="294"/>
      <c r="H102" s="264"/>
      <c r="I102" s="264"/>
      <c r="J102" s="264"/>
      <c r="K102" s="264"/>
      <c r="L102" s="294"/>
      <c r="M102" s="264"/>
      <c r="N102" s="264"/>
      <c r="O102" s="264"/>
      <c r="P102" s="264"/>
      <c r="Q102" s="264"/>
      <c r="R102" s="266"/>
      <c r="S102" s="266"/>
      <c r="T102" s="266"/>
      <c r="V102" s="32"/>
    </row>
    <row r="103" spans="1:22">
      <c r="A103" s="130" t="s">
        <v>308</v>
      </c>
      <c r="C103" s="268" t="e">
        <f>N70</f>
        <v>#REF!</v>
      </c>
      <c r="D103" s="268" t="e">
        <f>C104</f>
        <v>#REF!</v>
      </c>
      <c r="E103" s="268" t="e">
        <f>D104</f>
        <v>#REF!</v>
      </c>
      <c r="F103" s="268" t="e">
        <f>E104</f>
        <v>#REF!</v>
      </c>
      <c r="G103" s="294"/>
      <c r="H103" s="268" t="e">
        <f>F104</f>
        <v>#REF!</v>
      </c>
      <c r="I103" s="268" t="e">
        <f>H104</f>
        <v>#REF!</v>
      </c>
      <c r="J103" s="268" t="e">
        <f>I104</f>
        <v>#REF!</v>
      </c>
      <c r="K103" s="268" t="e">
        <f>J104</f>
        <v>#REF!</v>
      </c>
      <c r="L103" s="294"/>
      <c r="M103" s="268" t="e">
        <f>K104</f>
        <v>#REF!</v>
      </c>
      <c r="N103" s="268" t="e">
        <f>M104</f>
        <v>#REF!</v>
      </c>
      <c r="O103" s="268" t="e">
        <f>N104</f>
        <v>#REF!</v>
      </c>
      <c r="P103" s="268" t="e">
        <f>O104</f>
        <v>#REF!</v>
      </c>
      <c r="Q103" s="294"/>
      <c r="R103" s="266">
        <f>CASHFLOW!E30</f>
        <v>1212067.0057149711</v>
      </c>
      <c r="S103" s="266">
        <f>CASHFLOW!F30</f>
        <v>1570939.9431061586</v>
      </c>
      <c r="T103" s="266">
        <f>CASHFLOW!G30</f>
        <v>1961929.9468725759</v>
      </c>
      <c r="V103" s="130"/>
    </row>
    <row r="104" spans="1:22">
      <c r="A104" s="130" t="s">
        <v>307</v>
      </c>
      <c r="C104" s="268" t="e">
        <f>C101+C103</f>
        <v>#REF!</v>
      </c>
      <c r="D104" s="268" t="e">
        <f>D101+D103</f>
        <v>#REF!</v>
      </c>
      <c r="E104" s="268" t="e">
        <f>E101+E103</f>
        <v>#REF!</v>
      </c>
      <c r="F104" s="268" t="e">
        <f>F101+F103</f>
        <v>#REF!</v>
      </c>
      <c r="G104" s="294"/>
      <c r="H104" s="268" t="e">
        <f>H101+H103</f>
        <v>#REF!</v>
      </c>
      <c r="I104" s="268" t="e">
        <f>I101+I103</f>
        <v>#REF!</v>
      </c>
      <c r="J104" s="268" t="e">
        <f>J101+J103</f>
        <v>#REF!</v>
      </c>
      <c r="K104" s="268" t="e">
        <f>K101+K103</f>
        <v>#REF!</v>
      </c>
      <c r="L104" s="294"/>
      <c r="M104" s="268" t="e">
        <f>M101+M103</f>
        <v>#REF!</v>
      </c>
      <c r="N104" s="268" t="e">
        <f>N101+N103</f>
        <v>#REF!</v>
      </c>
      <c r="O104" s="268" t="e">
        <f>O101+O103</f>
        <v>#REF!</v>
      </c>
      <c r="P104" s="268" t="e">
        <f>P101+P103</f>
        <v>#REF!</v>
      </c>
      <c r="Q104" s="294"/>
      <c r="R104" s="266">
        <f>CASHFLOW!E31</f>
        <v>1570939.9431061586</v>
      </c>
      <c r="S104" s="266">
        <f>CASHFLOW!F31</f>
        <v>1961929.9468725759</v>
      </c>
      <c r="T104" s="266">
        <f>CASHFLOW!G31</f>
        <v>2361130.2377970815</v>
      </c>
      <c r="V104" s="130"/>
    </row>
    <row r="105" spans="1:22">
      <c r="Q105" s="264"/>
      <c r="R105" s="264"/>
      <c r="S105" s="264"/>
      <c r="T105" s="264"/>
    </row>
    <row r="106" spans="1:22">
      <c r="Q106" s="264"/>
      <c r="R106" s="264"/>
      <c r="S106" s="264"/>
      <c r="T106" s="264"/>
    </row>
    <row r="108" spans="1:22">
      <c r="E108" s="362"/>
    </row>
  </sheetData>
  <mergeCells count="3">
    <mergeCell ref="C76:G76"/>
    <mergeCell ref="H76:L76"/>
    <mergeCell ref="M76:Q76"/>
  </mergeCells>
  <phoneticPr fontId="0" type="noConversion"/>
  <pageMargins left="0.75" right="0.75" top="0.5" bottom="0.5" header="0.5" footer="0.5"/>
  <pageSetup scale="45" orientation="landscape" horizontalDpi="300" verticalDpi="300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O30"/>
  <sheetViews>
    <sheetView zoomScale="75" zoomScaleNormal="75" zoomScalePageLayoutView="75" workbookViewId="0">
      <selection activeCell="K7" sqref="K7"/>
    </sheetView>
  </sheetViews>
  <sheetFormatPr baseColWidth="10" defaultColWidth="8.7109375" defaultRowHeight="13" x14ac:dyDescent="0"/>
  <cols>
    <col min="1" max="1" width="30" customWidth="1"/>
    <col min="2" max="2" width="12" customWidth="1"/>
    <col min="3" max="3" width="11.5703125" customWidth="1"/>
    <col min="4" max="4" width="15.85546875" customWidth="1"/>
    <col min="5" max="5" width="16.5703125" customWidth="1"/>
    <col min="6" max="6" width="12.5703125" customWidth="1"/>
    <col min="7" max="7" width="13.28515625" customWidth="1"/>
    <col min="8" max="9" width="11.7109375" customWidth="1"/>
    <col min="10" max="10" width="12.42578125" customWidth="1"/>
    <col min="11" max="11" width="10.85546875" customWidth="1"/>
    <col min="12" max="12" width="12.7109375" customWidth="1"/>
    <col min="13" max="13" width="12" customWidth="1"/>
    <col min="14" max="14" width="13.140625" customWidth="1"/>
    <col min="15" max="15" width="14.28515625" customWidth="1"/>
  </cols>
  <sheetData>
    <row r="1" spans="1:15" ht="18">
      <c r="A1" s="382" t="str">
        <f>FUNDING!A1</f>
        <v>AQUAPONICS FARMING</v>
      </c>
      <c r="B1" s="361"/>
      <c r="C1" s="73"/>
      <c r="D1" s="30"/>
      <c r="E1" s="296"/>
      <c r="F1" s="30"/>
      <c r="H1" s="392"/>
    </row>
    <row r="2" spans="1:15" ht="15">
      <c r="A2" s="175" t="s">
        <v>260</v>
      </c>
      <c r="B2" s="297"/>
      <c r="C2" s="100"/>
      <c r="D2" s="100"/>
      <c r="E2" s="297"/>
      <c r="F2" s="100"/>
    </row>
    <row r="3" spans="1:15" ht="16">
      <c r="A3" s="321" t="s">
        <v>261</v>
      </c>
      <c r="B3" s="298"/>
      <c r="E3" s="298"/>
    </row>
    <row r="4" spans="1:15" ht="16">
      <c r="A4" s="175" t="s">
        <v>53</v>
      </c>
      <c r="B4" s="297"/>
      <c r="C4" s="100"/>
      <c r="D4" s="100"/>
      <c r="E4" s="59"/>
      <c r="F4" s="59"/>
      <c r="G4" s="59"/>
      <c r="H4" s="59"/>
      <c r="I4" s="297"/>
      <c r="J4" s="59"/>
      <c r="K4" s="59"/>
      <c r="L4" s="59"/>
      <c r="M4" s="59"/>
      <c r="N4" s="59"/>
      <c r="O4" s="59"/>
    </row>
    <row r="5" spans="1:15">
      <c r="A5" s="30"/>
      <c r="B5" s="296"/>
      <c r="C5" s="30"/>
      <c r="D5" s="30"/>
      <c r="E5" s="299"/>
      <c r="F5" s="299"/>
      <c r="G5" s="299"/>
      <c r="H5" s="299"/>
      <c r="I5" s="296"/>
      <c r="J5" s="299"/>
      <c r="K5" s="299"/>
      <c r="L5" s="299"/>
      <c r="M5" s="299"/>
      <c r="N5" s="299"/>
      <c r="O5" s="299"/>
    </row>
    <row r="6" spans="1:15">
      <c r="A6" s="346" t="s">
        <v>263</v>
      </c>
      <c r="B6" s="296"/>
      <c r="C6" s="296" t="s">
        <v>295</v>
      </c>
      <c r="D6" s="30"/>
      <c r="E6" s="296"/>
      <c r="F6" s="30"/>
      <c r="G6" s="30"/>
      <c r="H6" s="30"/>
      <c r="I6" s="296"/>
      <c r="J6" s="30"/>
      <c r="K6" s="30"/>
      <c r="L6" s="30"/>
      <c r="M6" s="30"/>
      <c r="N6" s="30"/>
      <c r="O6" s="30"/>
    </row>
    <row r="7" spans="1:15">
      <c r="A7" s="74" t="s">
        <v>229</v>
      </c>
      <c r="B7" s="308">
        <v>0.6</v>
      </c>
      <c r="C7" s="296" t="s">
        <v>219</v>
      </c>
      <c r="D7" s="30"/>
      <c r="E7" s="296"/>
      <c r="F7" s="30"/>
      <c r="G7" s="30"/>
      <c r="H7" s="30"/>
      <c r="I7" s="296"/>
      <c r="J7" s="30"/>
      <c r="K7" s="30"/>
      <c r="L7" s="30"/>
      <c r="M7" s="30"/>
      <c r="N7" s="30"/>
      <c r="O7" s="30"/>
    </row>
    <row r="8" spans="1:15">
      <c r="A8" s="74" t="s">
        <v>264</v>
      </c>
      <c r="B8" s="301">
        <v>15</v>
      </c>
      <c r="C8" s="296" t="s">
        <v>221</v>
      </c>
      <c r="D8" s="30"/>
      <c r="E8" s="296"/>
      <c r="F8" s="30"/>
      <c r="G8" s="30"/>
      <c r="H8" s="30"/>
      <c r="I8" s="296"/>
      <c r="J8" s="30"/>
      <c r="K8" s="30"/>
      <c r="L8" s="30"/>
      <c r="M8" s="30"/>
      <c r="N8" s="30"/>
      <c r="O8" s="30"/>
    </row>
    <row r="9" spans="1:15">
      <c r="A9" s="74" t="s">
        <v>265</v>
      </c>
      <c r="B9" s="309">
        <v>1500000</v>
      </c>
      <c r="C9" s="296" t="s">
        <v>223</v>
      </c>
      <c r="D9" s="30"/>
      <c r="E9" s="324" t="s">
        <v>281</v>
      </c>
      <c r="F9" s="325" t="s">
        <v>282</v>
      </c>
      <c r="G9" s="325"/>
      <c r="H9" s="325"/>
      <c r="I9" s="296" t="s">
        <v>283</v>
      </c>
      <c r="J9" s="30"/>
      <c r="K9" s="30"/>
      <c r="L9" s="30"/>
      <c r="M9" s="30"/>
      <c r="N9" s="30"/>
      <c r="O9" s="30"/>
    </row>
    <row r="10" spans="1:15">
      <c r="A10" s="326"/>
      <c r="B10" s="327"/>
      <c r="C10" s="73"/>
      <c r="D10" s="73"/>
      <c r="E10" s="328"/>
      <c r="F10" s="329"/>
      <c r="G10" s="329"/>
      <c r="H10" s="329"/>
      <c r="I10" s="330"/>
      <c r="J10" s="73"/>
      <c r="K10" s="73"/>
      <c r="L10" s="73"/>
      <c r="M10" s="73"/>
      <c r="N10" s="73"/>
      <c r="O10" s="73"/>
    </row>
    <row r="11" spans="1:15">
      <c r="A11" s="323" t="s">
        <v>295</v>
      </c>
      <c r="B11" s="296" t="s">
        <v>230</v>
      </c>
      <c r="C11" s="296" t="s">
        <v>232</v>
      </c>
      <c r="D11" s="331" t="s">
        <v>234</v>
      </c>
      <c r="E11" s="296" t="s">
        <v>237</v>
      </c>
      <c r="F11" s="296" t="s">
        <v>241</v>
      </c>
      <c r="G11" s="296" t="s">
        <v>266</v>
      </c>
      <c r="H11" s="296" t="s">
        <v>247</v>
      </c>
      <c r="I11" s="296" t="s">
        <v>250</v>
      </c>
      <c r="J11" s="30"/>
      <c r="K11" s="30"/>
      <c r="L11" s="30"/>
      <c r="M11" s="30"/>
      <c r="N11" s="30"/>
      <c r="O11" s="30"/>
    </row>
    <row r="12" spans="1:15" ht="24">
      <c r="A12" s="351" t="s">
        <v>292</v>
      </c>
      <c r="B12" s="304" t="s">
        <v>267</v>
      </c>
      <c r="C12" s="304" t="s">
        <v>63</v>
      </c>
      <c r="D12" s="332" t="s">
        <v>268</v>
      </c>
      <c r="E12" s="332" t="s">
        <v>269</v>
      </c>
      <c r="F12" s="332" t="s">
        <v>270</v>
      </c>
      <c r="G12" s="332" t="s">
        <v>271</v>
      </c>
      <c r="H12" s="332" t="s">
        <v>272</v>
      </c>
      <c r="I12" s="332" t="s">
        <v>273</v>
      </c>
      <c r="J12" s="346" t="s">
        <v>293</v>
      </c>
      <c r="K12" s="296"/>
      <c r="L12" s="296"/>
      <c r="M12" s="296"/>
      <c r="N12" s="296"/>
      <c r="O12" s="296"/>
    </row>
    <row r="13" spans="1:15">
      <c r="A13" s="363" t="s">
        <v>217</v>
      </c>
      <c r="B13" s="333"/>
      <c r="C13" s="333" t="s">
        <v>294</v>
      </c>
      <c r="D13" s="333" t="s">
        <v>274</v>
      </c>
      <c r="E13" s="333" t="s">
        <v>275</v>
      </c>
      <c r="F13" s="333" t="s">
        <v>276</v>
      </c>
      <c r="G13" s="333" t="s">
        <v>277</v>
      </c>
      <c r="H13" s="333" t="s">
        <v>278</v>
      </c>
      <c r="I13" s="334" t="s">
        <v>279</v>
      </c>
      <c r="J13" s="335" t="s">
        <v>280</v>
      </c>
      <c r="K13" s="335" t="s">
        <v>54</v>
      </c>
      <c r="L13" s="335" t="s">
        <v>55</v>
      </c>
      <c r="M13" s="335" t="s">
        <v>56</v>
      </c>
      <c r="N13" s="335" t="s">
        <v>57</v>
      </c>
      <c r="O13" s="335" t="s">
        <v>58</v>
      </c>
    </row>
    <row r="14" spans="1:15">
      <c r="A14" s="74" t="s">
        <v>287</v>
      </c>
      <c r="B14" s="336">
        <v>1</v>
      </c>
      <c r="C14" s="322">
        <f>'NET PROFIT'!C33</f>
        <v>165945.53648043028</v>
      </c>
      <c r="D14" s="352">
        <f>C14*B$8</f>
        <v>2489183.047206454</v>
      </c>
      <c r="E14" s="353">
        <f>B$9*(1+B$7)^B14</f>
        <v>2400000</v>
      </c>
      <c r="F14" s="354">
        <f>IF(C14&lt;=0,1,E14/D14)</f>
        <v>0.96417176016583361</v>
      </c>
      <c r="G14" s="355">
        <f>IF(D14&lt;0,0,IF(E14&gt;D14,D14,E14))</f>
        <v>2400000</v>
      </c>
      <c r="H14" s="356">
        <f>G14/B$9</f>
        <v>1.6</v>
      </c>
      <c r="I14" s="357">
        <f>IF(D14&lt;=0,NA(),IRR(J14:O14))</f>
        <v>0.60000000000000009</v>
      </c>
      <c r="J14" s="342">
        <f>-B$9</f>
        <v>-1500000</v>
      </c>
      <c r="K14" s="343">
        <f>G14</f>
        <v>2400000</v>
      </c>
      <c r="L14" s="343"/>
      <c r="M14" s="343"/>
      <c r="N14" s="343"/>
      <c r="O14" s="343"/>
    </row>
    <row r="15" spans="1:15">
      <c r="A15" s="74" t="s">
        <v>288</v>
      </c>
      <c r="B15" s="336">
        <v>2</v>
      </c>
      <c r="C15" s="322">
        <f>'NET PROFIT'!D33</f>
        <v>294774.29090943001</v>
      </c>
      <c r="D15" s="353">
        <f>C15*B$8</f>
        <v>4421614.3636414502</v>
      </c>
      <c r="E15" s="353">
        <f>B$9*(1+B$7)^B15</f>
        <v>3840000.0000000009</v>
      </c>
      <c r="F15" s="354">
        <f>IF(C15&lt;=0,1,E15/D15)</f>
        <v>0.86846108325863658</v>
      </c>
      <c r="G15" s="355">
        <f>IF(D15&lt;0,0,IF(E15&gt;D15,D15,E15))</f>
        <v>3840000.0000000009</v>
      </c>
      <c r="H15" s="356">
        <f>G15/B$9</f>
        <v>2.5600000000000005</v>
      </c>
      <c r="I15" s="357">
        <f>IF(D15&lt;=0,NA(),IRR(J15:O15))</f>
        <v>0.59999999999999876</v>
      </c>
      <c r="J15" s="342">
        <f>-B$9</f>
        <v>-1500000</v>
      </c>
      <c r="K15" s="343">
        <v>0</v>
      </c>
      <c r="L15" s="343">
        <f>G15</f>
        <v>3840000.0000000009</v>
      </c>
      <c r="M15" s="343"/>
      <c r="N15" s="343"/>
      <c r="O15" s="343"/>
    </row>
    <row r="16" spans="1:15">
      <c r="A16" s="74" t="s">
        <v>289</v>
      </c>
      <c r="B16" s="336">
        <v>3</v>
      </c>
      <c r="C16" s="322">
        <f>'NET PROFIT'!E33</f>
        <v>390536.08083243005</v>
      </c>
      <c r="D16" s="353">
        <f>C16*B$8</f>
        <v>5858041.2124864506</v>
      </c>
      <c r="E16" s="353">
        <f>B$9*(1+B$7)^B16</f>
        <v>6144000.0000000019</v>
      </c>
      <c r="F16" s="354">
        <f>IF(C16&lt;=0,1,E16/D16)</f>
        <v>1.0488147449191767</v>
      </c>
      <c r="G16" s="355">
        <f>IF(D16&lt;0,0,IF(E16&gt;D16,D16,E16))</f>
        <v>5858041.2124864506</v>
      </c>
      <c r="H16" s="356">
        <f>G16/B$9</f>
        <v>3.9053608083243003</v>
      </c>
      <c r="I16" s="357">
        <f>IF(D16&lt;=0,NA(),IRR(J16:O16))</f>
        <v>0.57478180342704532</v>
      </c>
      <c r="J16" s="342">
        <f>-B$9</f>
        <v>-1500000</v>
      </c>
      <c r="K16" s="343">
        <v>0</v>
      </c>
      <c r="L16" s="343">
        <v>0</v>
      </c>
      <c r="M16" s="343">
        <f>G16</f>
        <v>5858041.2124864506</v>
      </c>
      <c r="N16" s="343"/>
      <c r="O16" s="343"/>
    </row>
    <row r="17" spans="1:15">
      <c r="A17" s="74" t="s">
        <v>290</v>
      </c>
      <c r="B17" s="336">
        <v>4</v>
      </c>
      <c r="C17" s="322">
        <f>'NET PROFIT'!F33</f>
        <v>411715.35674043023</v>
      </c>
      <c r="D17" s="353">
        <f>C17*B$8</f>
        <v>6175730.3511064537</v>
      </c>
      <c r="E17" s="353">
        <f>B$9*(1+B$7)^B17</f>
        <v>9830400.0000000037</v>
      </c>
      <c r="F17" s="354">
        <f>IF(C17&lt;=0,1,E17/D17)</f>
        <v>1.5917793428657023</v>
      </c>
      <c r="G17" s="355">
        <f>IF(D17&lt;0,0,IF(E17&gt;D17,D17,E17))</f>
        <v>6175730.3511064537</v>
      </c>
      <c r="H17" s="356">
        <f>G17/B$9</f>
        <v>4.1171535674043023</v>
      </c>
      <c r="I17" s="357">
        <f>IF(D17&lt;=0,NA(),IRR(J17:O17))</f>
        <v>0.42445674680798251</v>
      </c>
      <c r="J17" s="342">
        <f>-B$9</f>
        <v>-1500000</v>
      </c>
      <c r="K17" s="343">
        <v>0</v>
      </c>
      <c r="L17" s="343">
        <v>0</v>
      </c>
      <c r="M17" s="343">
        <v>0</v>
      </c>
      <c r="N17" s="343">
        <f>G17</f>
        <v>6175730.3511064537</v>
      </c>
      <c r="O17" s="343"/>
    </row>
    <row r="18" spans="1:15">
      <c r="A18" s="74" t="s">
        <v>291</v>
      </c>
      <c r="B18" s="336">
        <v>5</v>
      </c>
      <c r="C18" s="322">
        <f>'NET PROFIT'!G33</f>
        <v>435536.65503692999</v>
      </c>
      <c r="D18" s="353">
        <f>C18*B$8</f>
        <v>6533049.8255539499</v>
      </c>
      <c r="E18" s="353">
        <f>B$9*(1+B$7)^B18</f>
        <v>15728640.000000009</v>
      </c>
      <c r="F18" s="354">
        <f>IF(C18&lt;=0,1,E18/D18)</f>
        <v>2.407549371271839</v>
      </c>
      <c r="G18" s="355">
        <f>IF(D18&lt;0,0,IF(E18&gt;D18,D18,E18))</f>
        <v>6533049.8255539499</v>
      </c>
      <c r="H18" s="356">
        <f>G18/B$9</f>
        <v>4.3553665503692995</v>
      </c>
      <c r="I18" s="357">
        <f>IF(D18&lt;=0,NA(),IRR(J18:O18))</f>
        <v>0.34216201111304034</v>
      </c>
      <c r="J18" s="342">
        <f>-B$9</f>
        <v>-1500000</v>
      </c>
      <c r="K18" s="343">
        <v>0</v>
      </c>
      <c r="L18" s="343">
        <v>0</v>
      </c>
      <c r="M18" s="343">
        <v>0</v>
      </c>
      <c r="N18" s="343">
        <v>0</v>
      </c>
      <c r="O18" s="343">
        <f>G18</f>
        <v>6533049.8255539499</v>
      </c>
    </row>
    <row r="19" spans="1:15">
      <c r="A19" s="344"/>
      <c r="B19" s="336"/>
      <c r="C19" s="329"/>
      <c r="D19" s="337"/>
      <c r="E19" s="337"/>
      <c r="F19" s="338"/>
      <c r="G19" s="339"/>
      <c r="H19" s="340"/>
      <c r="I19" s="341"/>
      <c r="J19" s="342"/>
      <c r="K19" s="343"/>
      <c r="L19" s="343"/>
      <c r="M19" s="343"/>
      <c r="N19" s="343"/>
      <c r="O19" s="343"/>
    </row>
    <row r="20" spans="1:15">
      <c r="A20" s="30"/>
      <c r="B20" s="296"/>
      <c r="C20" s="30"/>
      <c r="D20" s="30"/>
      <c r="E20" s="296"/>
      <c r="F20" s="30"/>
      <c r="G20" s="30"/>
      <c r="H20" s="30"/>
      <c r="I20" s="296"/>
      <c r="J20" s="30"/>
      <c r="K20" s="30"/>
      <c r="L20" s="30"/>
      <c r="M20" s="30"/>
      <c r="N20" s="30"/>
      <c r="O20" s="30"/>
    </row>
    <row r="21" spans="1:15" ht="14" thickBot="1">
      <c r="A21" s="30"/>
      <c r="B21" s="296"/>
      <c r="C21" s="30"/>
      <c r="D21" s="30"/>
      <c r="E21" s="358"/>
      <c r="F21" s="360" t="s">
        <v>296</v>
      </c>
      <c r="G21" s="359"/>
      <c r="H21" s="359"/>
      <c r="I21" s="358"/>
      <c r="J21" s="30"/>
      <c r="K21" s="30"/>
      <c r="L21" s="30"/>
      <c r="M21" s="30"/>
      <c r="N21" s="30"/>
      <c r="O21" s="30"/>
    </row>
    <row r="22" spans="1:15" ht="24">
      <c r="A22" s="30"/>
      <c r="B22" s="296"/>
      <c r="C22" s="30"/>
      <c r="D22" s="30"/>
      <c r="E22" s="345" t="s">
        <v>267</v>
      </c>
      <c r="F22" s="332" t="s">
        <v>270</v>
      </c>
      <c r="G22" s="332" t="s">
        <v>271</v>
      </c>
      <c r="H22" s="332" t="s">
        <v>272</v>
      </c>
      <c r="I22" s="332" t="s">
        <v>273</v>
      </c>
      <c r="J22" s="30"/>
      <c r="K22" s="30"/>
      <c r="L22" s="30"/>
      <c r="M22" s="30"/>
      <c r="N22" s="30"/>
      <c r="O22" s="30"/>
    </row>
    <row r="23" spans="1:15">
      <c r="A23" s="30"/>
      <c r="B23" s="296"/>
      <c r="C23" s="296"/>
      <c r="D23" s="104"/>
      <c r="E23" s="336">
        <v>1</v>
      </c>
      <c r="F23" s="314">
        <v>0.25</v>
      </c>
      <c r="G23" s="355">
        <f>IF(D14&lt;0,0,F23*D14)</f>
        <v>622295.76180161349</v>
      </c>
      <c r="H23" s="356">
        <f>G23/B$9</f>
        <v>0.41486384120107567</v>
      </c>
      <c r="I23" s="357">
        <f>IF(G23=0,NA(),IRR(J23:O23))</f>
        <v>-0.58513615879892433</v>
      </c>
      <c r="J23" s="342">
        <f>-B$9</f>
        <v>-1500000</v>
      </c>
      <c r="K23" s="343">
        <f>G23</f>
        <v>622295.76180161349</v>
      </c>
      <c r="L23" s="343"/>
      <c r="M23" s="343"/>
      <c r="N23" s="343"/>
      <c r="O23" s="343"/>
    </row>
    <row r="24" spans="1:15">
      <c r="A24" s="30"/>
      <c r="B24" s="296"/>
      <c r="C24" s="296"/>
      <c r="D24" s="104"/>
      <c r="E24" s="336">
        <v>2</v>
      </c>
      <c r="F24" s="314">
        <v>0.25</v>
      </c>
      <c r="G24" s="355">
        <f>IF(D15&lt;0,0,F24*D15)</f>
        <v>1105403.5909103625</v>
      </c>
      <c r="H24" s="356">
        <f>G24/B$9</f>
        <v>0.73693572727357504</v>
      </c>
      <c r="I24" s="357">
        <f>IF(G24=0,NA(),IRR(J24:O24))</f>
        <v>-0.1415503932824157</v>
      </c>
      <c r="J24" s="342">
        <f>-B$9</f>
        <v>-1500000</v>
      </c>
      <c r="K24" s="343">
        <v>0</v>
      </c>
      <c r="L24" s="343">
        <f>G24</f>
        <v>1105403.5909103625</v>
      </c>
      <c r="M24" s="343"/>
      <c r="N24" s="343"/>
      <c r="O24" s="343"/>
    </row>
    <row r="25" spans="1:15">
      <c r="A25" s="30"/>
      <c r="B25" s="296"/>
      <c r="C25" s="296"/>
      <c r="D25" s="104"/>
      <c r="E25" s="336">
        <v>3</v>
      </c>
      <c r="F25" s="314">
        <v>0.25</v>
      </c>
      <c r="G25" s="355">
        <f>IF(D16&lt;0,0,F25*D16)</f>
        <v>1464510.3031216126</v>
      </c>
      <c r="H25" s="356">
        <f>G25/B$9</f>
        <v>0.97634020208107508</v>
      </c>
      <c r="I25" s="357">
        <f>IF(G25=0,NA(),IRR(J25:O25))</f>
        <v>-7.9496284354274582E-3</v>
      </c>
      <c r="J25" s="342">
        <f>-B$9</f>
        <v>-1500000</v>
      </c>
      <c r="K25" s="343">
        <v>0</v>
      </c>
      <c r="L25" s="343">
        <v>0</v>
      </c>
      <c r="M25" s="343">
        <f>G25</f>
        <v>1464510.3031216126</v>
      </c>
      <c r="N25" s="343"/>
      <c r="O25" s="343"/>
    </row>
    <row r="26" spans="1:15">
      <c r="A26" s="30"/>
      <c r="B26" s="296"/>
      <c r="C26" s="296"/>
      <c r="D26" s="104"/>
      <c r="E26" s="336">
        <v>4</v>
      </c>
      <c r="F26" s="314">
        <v>0.25</v>
      </c>
      <c r="G26" s="355">
        <f>IF(D17&lt;0,0,F26*D17)</f>
        <v>1543932.5877766134</v>
      </c>
      <c r="H26" s="356">
        <f>G26/B$9</f>
        <v>1.0292883918510756</v>
      </c>
      <c r="I26" s="357">
        <f>IF(G26=0,NA(),IRR(J26:O26))</f>
        <v>7.2430251748536456E-3</v>
      </c>
      <c r="J26" s="342">
        <f>-B$9</f>
        <v>-1500000</v>
      </c>
      <c r="K26" s="343">
        <v>0</v>
      </c>
      <c r="L26" s="343">
        <v>0</v>
      </c>
      <c r="M26" s="343">
        <v>0</v>
      </c>
      <c r="N26" s="343">
        <f>G26</f>
        <v>1543932.5877766134</v>
      </c>
      <c r="O26" s="343"/>
    </row>
    <row r="27" spans="1:15">
      <c r="A27" s="30"/>
      <c r="B27" s="296"/>
      <c r="C27" s="30"/>
      <c r="D27" s="30"/>
      <c r="E27" s="336">
        <v>5</v>
      </c>
      <c r="F27" s="314">
        <v>0.4</v>
      </c>
      <c r="G27" s="355">
        <f>IF(D18&lt;0,0,F27*D18)</f>
        <v>2613219.93022158</v>
      </c>
      <c r="H27" s="356">
        <f>G27/B$9</f>
        <v>1.74214662014772</v>
      </c>
      <c r="I27" s="357">
        <f>IF(G27=0,NA(),IRR(J27:O27))</f>
        <v>0.11742128720511058</v>
      </c>
      <c r="J27" s="342">
        <f>-B$9</f>
        <v>-1500000</v>
      </c>
      <c r="K27" s="343">
        <v>0</v>
      </c>
      <c r="L27" s="343">
        <v>0</v>
      </c>
      <c r="M27" s="343">
        <v>0</v>
      </c>
      <c r="N27" s="343">
        <v>0</v>
      </c>
      <c r="O27" s="343">
        <f>G27</f>
        <v>2613219.93022158</v>
      </c>
    </row>
    <row r="28" spans="1:15" ht="16">
      <c r="A28" s="321"/>
      <c r="B28" s="298"/>
      <c r="E28" s="298"/>
    </row>
    <row r="29" spans="1:15" ht="16">
      <c r="A29" s="321"/>
      <c r="B29" s="298"/>
      <c r="E29" s="298"/>
    </row>
    <row r="30" spans="1:15" ht="16">
      <c r="A30" s="321"/>
      <c r="B30" s="298"/>
      <c r="E30" s="298"/>
    </row>
  </sheetData>
  <phoneticPr fontId="0" type="noConversion"/>
  <pageMargins left="0.75" right="0.75" top="1" bottom="1" header="0.5" footer="0.5"/>
  <pageSetup scale="58" orientation="landscape"/>
  <headerFooter alignWithMargins="0">
    <oddHeader>&amp;R&amp;D
&amp;T</oddHeader>
  </headerFooter>
  <rowBreaks count="1" manualBreakCount="1">
    <brk id="30" max="16383" man="1"/>
  </rowBreaks>
  <colBreaks count="2" manualBreakCount="2">
    <brk id="9" max="1048575" man="1"/>
    <brk id="10" max="1048575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G37"/>
  <sheetViews>
    <sheetView zoomScale="75" zoomScaleNormal="75" zoomScalePageLayoutView="75" workbookViewId="0">
      <selection activeCell="B10" sqref="B10"/>
    </sheetView>
  </sheetViews>
  <sheetFormatPr baseColWidth="10" defaultColWidth="8.7109375" defaultRowHeight="13" x14ac:dyDescent="0"/>
  <cols>
    <col min="1" max="1" width="34.140625" customWidth="1"/>
    <col min="2" max="2" width="18.140625" customWidth="1"/>
    <col min="3" max="3" width="14.7109375" customWidth="1"/>
    <col min="4" max="4" width="12.42578125" customWidth="1"/>
    <col min="6" max="6" width="11.7109375" customWidth="1"/>
  </cols>
  <sheetData>
    <row r="1" spans="1:7" ht="18">
      <c r="A1" s="383" t="str">
        <f>'NET PROFIT'!A1</f>
        <v>AQUAPONICS FARMING</v>
      </c>
      <c r="G1" s="392"/>
    </row>
    <row r="2" spans="1:7" ht="15">
      <c r="A2" s="175" t="s">
        <v>260</v>
      </c>
    </row>
    <row r="3" spans="1:7" ht="16">
      <c r="A3" s="321" t="s">
        <v>261</v>
      </c>
    </row>
    <row r="4" spans="1:7" ht="15">
      <c r="A4" s="175" t="s">
        <v>53</v>
      </c>
    </row>
    <row r="5" spans="1:7" ht="15">
      <c r="A5" s="175" t="s">
        <v>262</v>
      </c>
    </row>
    <row r="6" spans="1:7">
      <c r="B6" s="296"/>
      <c r="C6" s="30"/>
      <c r="D6" s="30"/>
      <c r="E6" s="299"/>
      <c r="F6" s="299"/>
    </row>
    <row r="7" spans="1:7">
      <c r="B7" s="298"/>
    </row>
    <row r="8" spans="1:7">
      <c r="A8" s="347" t="s">
        <v>215</v>
      </c>
      <c r="B8" s="298"/>
      <c r="E8" s="300" t="s">
        <v>216</v>
      </c>
      <c r="F8" s="300" t="s">
        <v>217</v>
      </c>
    </row>
    <row r="9" spans="1:7">
      <c r="A9" s="318" t="s">
        <v>218</v>
      </c>
      <c r="B9" s="301">
        <v>60</v>
      </c>
      <c r="E9" s="302" t="s">
        <v>219</v>
      </c>
      <c r="F9" s="298"/>
    </row>
    <row r="10" spans="1:7">
      <c r="A10" s="318" t="s">
        <v>220</v>
      </c>
      <c r="B10" s="350">
        <f>'NET PROFIT'!G33</f>
        <v>435536.65503692999</v>
      </c>
      <c r="E10" s="302" t="s">
        <v>221</v>
      </c>
      <c r="F10" s="298"/>
    </row>
    <row r="11" spans="1:7">
      <c r="A11" s="318" t="s">
        <v>222</v>
      </c>
      <c r="B11" s="301">
        <v>15</v>
      </c>
      <c r="E11" s="302" t="s">
        <v>223</v>
      </c>
      <c r="F11" s="298"/>
    </row>
    <row r="12" spans="1:7">
      <c r="A12" s="315"/>
      <c r="B12" s="303"/>
      <c r="C12" s="302"/>
      <c r="E12" s="298"/>
      <c r="F12" s="298"/>
    </row>
    <row r="13" spans="1:7">
      <c r="A13" s="348" t="s">
        <v>224</v>
      </c>
      <c r="B13" s="304" t="s">
        <v>225</v>
      </c>
      <c r="C13" s="305" t="s">
        <v>226</v>
      </c>
      <c r="D13" s="306" t="s">
        <v>227</v>
      </c>
      <c r="E13" s="298"/>
      <c r="F13" s="298"/>
    </row>
    <row r="14" spans="1:7">
      <c r="A14" s="317" t="s">
        <v>228</v>
      </c>
      <c r="B14" s="301">
        <v>0</v>
      </c>
      <c r="C14" s="301">
        <v>24</v>
      </c>
      <c r="D14" s="301">
        <v>24</v>
      </c>
      <c r="E14" s="307" t="s">
        <v>223</v>
      </c>
      <c r="F14" s="307"/>
    </row>
    <row r="15" spans="1:7">
      <c r="A15" s="318" t="s">
        <v>229</v>
      </c>
      <c r="B15" s="308">
        <v>0.6</v>
      </c>
      <c r="C15" s="308">
        <v>0.5</v>
      </c>
      <c r="D15" s="308">
        <v>0.5</v>
      </c>
      <c r="E15" s="302" t="s">
        <v>230</v>
      </c>
      <c r="F15" s="298"/>
    </row>
    <row r="16" spans="1:7">
      <c r="A16" s="319" t="s">
        <v>231</v>
      </c>
      <c r="B16" s="309">
        <v>1500000</v>
      </c>
      <c r="C16" s="309">
        <v>500000</v>
      </c>
      <c r="D16" s="309">
        <v>300000</v>
      </c>
      <c r="E16" s="302" t="s">
        <v>232</v>
      </c>
      <c r="F16" s="310"/>
    </row>
    <row r="17" spans="1:6">
      <c r="A17" s="317" t="s">
        <v>233</v>
      </c>
      <c r="B17" s="364">
        <f>B15/12</f>
        <v>4.9999999999999996E-2</v>
      </c>
      <c r="C17" s="364">
        <f>C15/12</f>
        <v>4.1666666666666664E-2</v>
      </c>
      <c r="D17" s="364">
        <f>D15/12</f>
        <v>4.1666666666666664E-2</v>
      </c>
      <c r="E17" s="307" t="s">
        <v>234</v>
      </c>
      <c r="F17" s="307" t="s">
        <v>235</v>
      </c>
    </row>
    <row r="18" spans="1:6">
      <c r="A18" s="317" t="s">
        <v>236</v>
      </c>
      <c r="B18" s="365">
        <f>$B$9-B14</f>
        <v>60</v>
      </c>
      <c r="C18" s="365">
        <f>$B$9-C14</f>
        <v>36</v>
      </c>
      <c r="D18" s="365">
        <f>$B$9-D14</f>
        <v>36</v>
      </c>
      <c r="E18" s="307" t="s">
        <v>237</v>
      </c>
      <c r="F18" s="307" t="s">
        <v>238</v>
      </c>
    </row>
    <row r="19" spans="1:6">
      <c r="A19" s="311"/>
      <c r="B19" s="312"/>
      <c r="C19" s="40"/>
      <c r="D19" s="40"/>
      <c r="E19" s="307"/>
      <c r="F19" s="307"/>
    </row>
    <row r="20" spans="1:6" ht="14" thickBot="1">
      <c r="A20" s="347" t="s">
        <v>239</v>
      </c>
      <c r="B20" s="312"/>
      <c r="C20" s="40"/>
      <c r="D20" s="40"/>
      <c r="E20" s="307"/>
      <c r="F20" s="307"/>
    </row>
    <row r="21" spans="1:6" ht="14" thickBot="1">
      <c r="A21" s="349" t="s">
        <v>240</v>
      </c>
      <c r="B21" s="370">
        <f>B11*B10</f>
        <v>6533049.8255539499</v>
      </c>
      <c r="C21" s="40"/>
      <c r="D21" s="40"/>
      <c r="E21" s="307" t="s">
        <v>241</v>
      </c>
      <c r="F21" s="307" t="s">
        <v>242</v>
      </c>
    </row>
    <row r="22" spans="1:6">
      <c r="A22" s="349"/>
      <c r="B22" s="312"/>
      <c r="C22" s="40"/>
      <c r="D22" s="40"/>
      <c r="E22" s="307"/>
      <c r="F22" s="307"/>
    </row>
    <row r="23" spans="1:6">
      <c r="A23" s="349"/>
      <c r="B23" s="304" t="s">
        <v>225</v>
      </c>
      <c r="C23" s="305" t="s">
        <v>226</v>
      </c>
      <c r="D23" s="306" t="s">
        <v>227</v>
      </c>
      <c r="E23" s="307"/>
      <c r="F23" s="307"/>
    </row>
    <row r="24" spans="1:6">
      <c r="A24" s="349" t="s">
        <v>243</v>
      </c>
      <c r="B24" s="366">
        <f>B16*(1+B15)^(B18/12)</f>
        <v>15728640.000000009</v>
      </c>
      <c r="C24" s="366">
        <f>C16*(1+C15)^(C18/12)</f>
        <v>1687500</v>
      </c>
      <c r="D24" s="366">
        <f>D16*(1+D15)^(D18/12)</f>
        <v>1012500</v>
      </c>
      <c r="E24" s="307" t="s">
        <v>244</v>
      </c>
      <c r="F24" s="307" t="s">
        <v>245</v>
      </c>
    </row>
    <row r="25" spans="1:6">
      <c r="A25" s="349" t="s">
        <v>246</v>
      </c>
      <c r="B25" s="367">
        <f>B24/$B$21</f>
        <v>2.407549371271839</v>
      </c>
      <c r="C25" s="367">
        <f>C24/$B$21</f>
        <v>0.25830202509697126</v>
      </c>
      <c r="D25" s="367">
        <f>D24/$B$21</f>
        <v>0.15498121505818274</v>
      </c>
      <c r="E25" s="307" t="s">
        <v>247</v>
      </c>
      <c r="F25" s="307" t="s">
        <v>248</v>
      </c>
    </row>
    <row r="26" spans="1:6">
      <c r="A26" s="349" t="s">
        <v>249</v>
      </c>
      <c r="B26" s="368">
        <f>B24/B16</f>
        <v>10.485760000000006</v>
      </c>
      <c r="C26" s="368">
        <f>C24/C16</f>
        <v>3.375</v>
      </c>
      <c r="D26" s="368">
        <f>D24/D16</f>
        <v>3.375</v>
      </c>
      <c r="E26" s="307" t="s">
        <v>250</v>
      </c>
      <c r="F26" s="307" t="s">
        <v>251</v>
      </c>
    </row>
    <row r="27" spans="1:6">
      <c r="A27" s="349" t="s">
        <v>252</v>
      </c>
      <c r="B27" s="368">
        <f>(B24/B16)^(12/B18)-1</f>
        <v>0.60000000000000031</v>
      </c>
      <c r="C27" s="368">
        <f>(C24/C16)^(12/C18)-1</f>
        <v>0.5</v>
      </c>
      <c r="D27" s="368">
        <f>(D24/D16)^(12/D18)-1</f>
        <v>0.5</v>
      </c>
      <c r="E27" s="307" t="s">
        <v>253</v>
      </c>
      <c r="F27" s="307" t="s">
        <v>254</v>
      </c>
    </row>
    <row r="28" spans="1:6">
      <c r="A28" s="316"/>
      <c r="B28" s="312"/>
      <c r="C28" s="40"/>
      <c r="D28" s="40"/>
      <c r="E28" s="307"/>
      <c r="F28" s="307"/>
    </row>
    <row r="29" spans="1:6">
      <c r="A29" s="320" t="s">
        <v>285</v>
      </c>
      <c r="B29" s="369">
        <f>B25</f>
        <v>2.407549371271839</v>
      </c>
      <c r="C29" s="369">
        <f>SUM(B25:C25)</f>
        <v>2.6658513963688102</v>
      </c>
      <c r="D29" s="369">
        <f>SUM(B25:D25)</f>
        <v>2.8208326114269928</v>
      </c>
      <c r="E29" s="307" t="s">
        <v>255</v>
      </c>
      <c r="F29" s="307" t="s">
        <v>256</v>
      </c>
    </row>
    <row r="30" spans="1:6">
      <c r="A30" s="320" t="s">
        <v>286</v>
      </c>
      <c r="B30" s="369">
        <f>1-B29</f>
        <v>-1.407549371271839</v>
      </c>
      <c r="C30" s="369">
        <f>1-C29</f>
        <v>-1.6658513963688102</v>
      </c>
      <c r="D30" s="369">
        <f>1-D29</f>
        <v>-1.8208326114269928</v>
      </c>
      <c r="E30" s="307" t="s">
        <v>257</v>
      </c>
      <c r="F30" s="307" t="s">
        <v>258</v>
      </c>
    </row>
    <row r="31" spans="1:6">
      <c r="A31" s="311"/>
      <c r="B31" s="312"/>
      <c r="C31" s="40"/>
      <c r="D31" s="40"/>
      <c r="E31" s="307"/>
      <c r="F31" s="313"/>
    </row>
    <row r="32" spans="1:6">
      <c r="B32" s="312"/>
      <c r="C32" s="40"/>
      <c r="D32" s="40"/>
      <c r="E32" s="307"/>
      <c r="F32" s="307"/>
    </row>
    <row r="33" spans="1:6">
      <c r="A33" s="347" t="s">
        <v>284</v>
      </c>
      <c r="B33" s="304" t="s">
        <v>225</v>
      </c>
      <c r="C33" s="305" t="s">
        <v>226</v>
      </c>
      <c r="D33" s="306" t="s">
        <v>227</v>
      </c>
      <c r="E33" s="307"/>
      <c r="F33" s="307"/>
    </row>
    <row r="34" spans="1:6">
      <c r="A34" s="349" t="s">
        <v>246</v>
      </c>
      <c r="B34" s="314">
        <v>0.15</v>
      </c>
      <c r="C34" s="314">
        <v>0.05</v>
      </c>
      <c r="D34" s="314">
        <v>0.03</v>
      </c>
      <c r="E34" s="307"/>
      <c r="F34" s="307"/>
    </row>
    <row r="35" spans="1:6">
      <c r="A35" s="349" t="s">
        <v>259</v>
      </c>
      <c r="B35" s="366">
        <f>B34*$B$21</f>
        <v>979957.47383309249</v>
      </c>
      <c r="C35" s="366">
        <f>C34*$B$21</f>
        <v>326652.4912776975</v>
      </c>
      <c r="D35" s="366">
        <f>D34*$B$21</f>
        <v>195991.4947666185</v>
      </c>
      <c r="E35" s="307"/>
      <c r="F35" s="307"/>
    </row>
    <row r="36" spans="1:6">
      <c r="A36" s="349" t="s">
        <v>249</v>
      </c>
      <c r="B36" s="368">
        <f>B35/B16</f>
        <v>0.65330498255539504</v>
      </c>
      <c r="C36" s="368">
        <f>C35/C16</f>
        <v>0.65330498255539504</v>
      </c>
      <c r="D36" s="368">
        <f>D35/D16</f>
        <v>0.65330498255539504</v>
      </c>
      <c r="E36" s="307"/>
      <c r="F36" s="307"/>
    </row>
    <row r="37" spans="1:6">
      <c r="A37" s="349" t="s">
        <v>252</v>
      </c>
      <c r="B37" s="368">
        <f>(B35/B16)^(12/B18)-1</f>
        <v>-8.1618357407553077E-2</v>
      </c>
      <c r="C37" s="368">
        <f>(C35/C16)^(12/C18)-1</f>
        <v>-0.13229521949983514</v>
      </c>
      <c r="D37" s="368">
        <f>(D35/D16)^(12/D18)-1</f>
        <v>-0.13229521949983514</v>
      </c>
      <c r="E37" s="307"/>
      <c r="F37" s="307"/>
    </row>
  </sheetData>
  <phoneticPr fontId="0" type="noConversion"/>
  <pageMargins left="0.75" right="0.75" top="1" bottom="1" header="0.5" footer="0.5"/>
  <pageSetup scale="90" orientation="portrait"/>
  <headerFooter alignWithMargins="0">
    <oddHeader>&amp;R&amp;D
&amp;T</oddHead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PROJ SPECS</vt:lpstr>
      <vt:lpstr>EXEC SUMMARY</vt:lpstr>
      <vt:lpstr>REVENUE</vt:lpstr>
      <vt:lpstr>COST OF REV</vt:lpstr>
      <vt:lpstr>OPER EXP</vt:lpstr>
      <vt:lpstr>NET PROFIT</vt:lpstr>
      <vt:lpstr>BALANCE SHEET</vt:lpstr>
      <vt:lpstr>BREAKEVEN</vt:lpstr>
      <vt:lpstr>PERSONNEL</vt:lpstr>
      <vt:lpstr>PROP &amp; EQUIP</vt:lpstr>
      <vt:lpstr>WORKCAP</vt:lpstr>
      <vt:lpstr>FUNDING</vt:lpstr>
      <vt:lpstr>EXTRA</vt:lpstr>
      <vt:lpstr>CASHFLOW</vt:lpstr>
      <vt:lpstr>INCOME-MOS</vt:lpstr>
      <vt:lpstr>CASHFLOW-MOS</vt:lpstr>
      <vt:lpstr>VAL-1</vt:lpstr>
      <vt:lpstr>VAL-2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Aquaponics Financial Model</dc:title>
  <dc:subject>Aquaponics</dc:subject>
  <dc:creator>Arvind Venkat</dc:creator>
  <dc:description>Please update status with changes to calculation structure for tracking.</dc:description>
  <cp:lastModifiedBy>Murray Hallam</cp:lastModifiedBy>
  <cp:lastPrinted>2004-04-01T22:34:35Z</cp:lastPrinted>
  <dcterms:created xsi:type="dcterms:W3CDTF">1998-02-16T20:13:16Z</dcterms:created>
  <dcterms:modified xsi:type="dcterms:W3CDTF">2016-08-12T00:19:25Z</dcterms:modified>
  <cp:category/>
  <cp:contentStatus>Ver 1.0</cp:contentStatus>
</cp:coreProperties>
</file>